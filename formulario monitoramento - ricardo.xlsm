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png" ContentType="image/png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EstaPasta_de_trabalho" defaultThemeVersion="124226"/>
  <bookViews>
    <workbookView showHorizontalScroll="0" showVerticalScroll="0" showSheetTabs="0" xWindow="0" yWindow="0" windowWidth="20490" windowHeight="7650" tabRatio="903"/>
  </bookViews>
  <sheets>
    <sheet name="MENU" sheetId="13" r:id="rId1"/>
    <sheet name="PE_1" sheetId="1" r:id="rId2"/>
    <sheet name="PE_2" sheetId="14" r:id="rId3"/>
    <sheet name="PE_3" sheetId="15" r:id="rId4"/>
    <sheet name="PE_4" sheetId="26" r:id="rId5"/>
    <sheet name="Consolida_PE" sheetId="2" r:id="rId6"/>
    <sheet name="Gráfico_PE" sheetId="18" r:id="rId7"/>
    <sheet name="1. Empreendedor" sheetId="20" r:id="rId8"/>
    <sheet name="2. Tecnologia" sheetId="22" r:id="rId9"/>
    <sheet name="3. Capital" sheetId="23" r:id="rId10"/>
    <sheet name="4. Mercado" sheetId="21" r:id="rId11"/>
    <sheet name="5. Gestão" sheetId="19" r:id="rId12"/>
    <sheet name="Consolida_Dimensões_Analítico" sheetId="24" r:id="rId13"/>
    <sheet name="Consolida_Dimensões_Sintético" sheetId="25" r:id="rId14"/>
    <sheet name="Empreendimento_Sintético" sheetId="10" r:id="rId15"/>
    <sheet name="Gráf-Analítico" sheetId="12" r:id="rId16"/>
    <sheet name="Entregas" sheetId="27" r:id="rId17"/>
  </sheets>
  <calcPr calcId="114210"/>
</workbook>
</file>

<file path=xl/calcChain.xml><?xml version="1.0" encoding="utf-8"?>
<calcChain xmlns="http://schemas.openxmlformats.org/spreadsheetml/2006/main">
  <c r="O8" i="27"/>
  <c r="O24"/>
  <c r="O23"/>
  <c r="O22"/>
  <c r="O21"/>
  <c r="O20"/>
  <c r="O19"/>
  <c r="O18"/>
  <c r="O17"/>
  <c r="O16"/>
  <c r="O15"/>
  <c r="O14"/>
  <c r="O13"/>
  <c r="O12"/>
  <c r="O11"/>
  <c r="D6"/>
  <c r="O10"/>
  <c r="O9"/>
  <c r="O7"/>
  <c r="I3" i="24"/>
  <c r="H3"/>
  <c r="O29" i="2"/>
  <c r="O32"/>
  <c r="O31"/>
  <c r="O30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N3"/>
  <c r="H44" i="2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24"/>
  <c r="N32" i="2"/>
  <c r="M32"/>
  <c r="L32"/>
  <c r="N31"/>
  <c r="M31"/>
  <c r="L31"/>
  <c r="N30"/>
  <c r="M30"/>
  <c r="L30"/>
  <c r="N29"/>
  <c r="M29"/>
  <c r="L29"/>
  <c r="N28"/>
  <c r="M28"/>
  <c r="L28"/>
  <c r="N27"/>
  <c r="M27"/>
  <c r="L27"/>
  <c r="N26"/>
  <c r="M26"/>
  <c r="L26"/>
  <c r="N25"/>
  <c r="M25"/>
  <c r="L25"/>
  <c r="N24"/>
  <c r="M24"/>
  <c r="L24"/>
  <c r="N23"/>
  <c r="M23"/>
  <c r="L23"/>
  <c r="N22"/>
  <c r="M22"/>
  <c r="L22"/>
  <c r="N21"/>
  <c r="M21"/>
  <c r="L21"/>
  <c r="N20"/>
  <c r="M20"/>
  <c r="L20"/>
  <c r="N19"/>
  <c r="M19"/>
  <c r="L19"/>
  <c r="N18"/>
  <c r="M18"/>
  <c r="L18"/>
  <c r="N17"/>
  <c r="M17"/>
  <c r="L17"/>
  <c r="N16"/>
  <c r="M16"/>
  <c r="L16"/>
  <c r="N15"/>
  <c r="M15"/>
  <c r="L15"/>
  <c r="N14"/>
  <c r="M14"/>
  <c r="L14"/>
  <c r="N13"/>
  <c r="M13"/>
  <c r="L13"/>
  <c r="N12"/>
  <c r="M12"/>
  <c r="L12"/>
  <c r="N11"/>
  <c r="M11"/>
  <c r="L11"/>
  <c r="N10"/>
  <c r="M10"/>
  <c r="L10"/>
  <c r="N9"/>
  <c r="M9"/>
  <c r="L9"/>
  <c r="N8"/>
  <c r="M8"/>
  <c r="L8"/>
  <c r="N7"/>
  <c r="M7"/>
  <c r="L7"/>
  <c r="N6"/>
  <c r="M6"/>
  <c r="L6"/>
  <c r="N5"/>
  <c r="M5"/>
  <c r="L5"/>
  <c r="N4"/>
  <c r="M4"/>
  <c r="L4"/>
  <c r="M3"/>
  <c r="L3"/>
  <c r="I43" i="24"/>
  <c r="I44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F3" i="25"/>
  <c r="P24" i="2"/>
  <c r="Q24"/>
  <c r="P16"/>
  <c r="Q16"/>
  <c r="P32"/>
  <c r="Q32"/>
  <c r="P8"/>
  <c r="Q8"/>
  <c r="P4"/>
  <c r="Q4"/>
  <c r="P12"/>
  <c r="P20"/>
  <c r="Q20"/>
  <c r="P28"/>
  <c r="Q28"/>
  <c r="P6"/>
  <c r="Q6"/>
  <c r="P10"/>
  <c r="Q10"/>
  <c r="P3"/>
  <c r="P14"/>
  <c r="Q14"/>
  <c r="P18"/>
  <c r="Q18"/>
  <c r="P22"/>
  <c r="Q22"/>
  <c r="P26"/>
  <c r="Q26"/>
  <c r="P30"/>
  <c r="Q30"/>
  <c r="P7"/>
  <c r="Q7"/>
  <c r="P11"/>
  <c r="Q11"/>
  <c r="P15"/>
  <c r="Q15"/>
  <c r="P19"/>
  <c r="Q19"/>
  <c r="P23"/>
  <c r="Q23"/>
  <c r="P27"/>
  <c r="Q27"/>
  <c r="P31"/>
  <c r="Q31"/>
  <c r="P5"/>
  <c r="Q5"/>
  <c r="P9"/>
  <c r="Q9"/>
  <c r="P13"/>
  <c r="Q13"/>
  <c r="P17"/>
  <c r="Q17"/>
  <c r="P21"/>
  <c r="Q21"/>
  <c r="P25"/>
  <c r="Q25"/>
  <c r="P29"/>
  <c r="Q29"/>
  <c r="F5" i="25"/>
  <c r="G5"/>
  <c r="F7"/>
  <c r="G7"/>
  <c r="F6"/>
  <c r="F4"/>
  <c r="G4"/>
  <c r="B64" i="18"/>
  <c r="C63" i="12"/>
  <c r="C23" i="10"/>
  <c r="D5" i="27"/>
  <c r="D4"/>
  <c r="Q12" i="2"/>
  <c r="Q3"/>
  <c r="G6" i="25"/>
  <c r="G3"/>
  <c r="D25" i="27"/>
</calcChain>
</file>

<file path=xl/sharedStrings.xml><?xml version="1.0" encoding="utf-8"?>
<sst xmlns="http://schemas.openxmlformats.org/spreadsheetml/2006/main" count="544" uniqueCount="322">
  <si>
    <t>Os potenciais fornecedores requeridos pelo negócio são conhecidos, porém, não foi providenciado nenhum contato formal para confirmar o potencial.</t>
  </si>
  <si>
    <t>Os potenciais fornecedores requeridos pelo negócio são conhecidos. Além disso, foi providenciado contato para confirmar o potencial.</t>
  </si>
  <si>
    <t>Os potenciais fornecedores requeridos pelo negócio são conhecidos. Foi providenciado contato para confirmar o potencial. Termos de parceria (vínculo formal) estão sendo providenciados.</t>
  </si>
  <si>
    <t>Os principais fornecedores não estão estabelecidos e nenhuma providência para formalizar as relações estão sendo providenciadas.</t>
  </si>
  <si>
    <t>Os principais fornecedores não estão estabelecidos, porém, providencias para formalizar a relação estão sendo providenciadas</t>
  </si>
  <si>
    <t>Os principais fornecedores estão estabelecidos, porém, não estão previstas avaliações segundo critérios definidos.</t>
  </si>
  <si>
    <t>Os principais fornecedores estão estabelecidos. Além disso, avalliações segundo critérios definidos estão previstas.</t>
  </si>
  <si>
    <t>Eixos</t>
  </si>
  <si>
    <t>Empreendedor</t>
  </si>
  <si>
    <t>Tecnologia</t>
  </si>
  <si>
    <t>Capital</t>
  </si>
  <si>
    <t>Mercado</t>
  </si>
  <si>
    <t>Gestão</t>
  </si>
  <si>
    <t>Resposta Empreendimento</t>
  </si>
  <si>
    <t>1. Investimento no desenvolvimento e aplicação de conhecimentos.</t>
  </si>
  <si>
    <t>8. Alinhamento nas decisões estratégicas e de rotina.</t>
  </si>
  <si>
    <t>2. Validação do Tripé de Sustentação do Negócio.</t>
  </si>
  <si>
    <t>3. Protótipo ou Produto Mínimo Viável e Fluxo do Processo.</t>
  </si>
  <si>
    <t>5. Os registros e licenças.</t>
  </si>
  <si>
    <t>6. Propriedade Intelectual/Patente.</t>
  </si>
  <si>
    <t>7. Informações comparativas na análise do desempenho e melhoria.</t>
  </si>
  <si>
    <t>2. Fontes de financiamento.</t>
  </si>
  <si>
    <t>3. Projeções de receitas e de custos.</t>
  </si>
  <si>
    <t>1. Segmentação de clientes e necessidades.</t>
  </si>
  <si>
    <t>3. Canais</t>
  </si>
  <si>
    <t>4. Reclamações dos clientes. [NÃO SE APLICA À MODALIDADE DE PRÉ-INCUBAÇÃO]</t>
  </si>
  <si>
    <t>5. Informações para fidelização, a captação de novos clientes e relacionamento. [NÃO SE APLICA À MODALIDADE DE PRÉ-INCUBAÇÃO]</t>
  </si>
  <si>
    <t>6. Cadastro de clientes. [NÃO SE APLICA À MODALIDADE DE PRÉ-INCUBAÇÃO]</t>
  </si>
  <si>
    <t>7. Prospecção.</t>
  </si>
  <si>
    <t>8. Informações externas e oportunidades de inovação.</t>
  </si>
  <si>
    <t>1. Empreendimento legalmente constituído.</t>
  </si>
  <si>
    <t>2. Impactos negativos causados pelo empreendimento são conhecidos e tratados.</t>
  </si>
  <si>
    <t>3. Os perigos e os riscos relacionados à SST dos empreendedores são identificados e tratados.</t>
  </si>
  <si>
    <t>4. Ideologia Missão, Visão, Valores.</t>
  </si>
  <si>
    <t>5. As principais diretrizes e os respectivos planos de ação.</t>
  </si>
  <si>
    <t>6. Indicadores e metas para os planos de ação e para o empreendimento como um todo.</t>
  </si>
  <si>
    <t>7. A jornada do cliente e os processos de suporte. [NÃO SE APLICA À MODALIDADE DE PRÉ-INCUBAÇÃO]</t>
  </si>
  <si>
    <t>DIAGNÓSTICO DE MATURIDADE DOS EMPREENDIMENTOS VINCULADOS AO PROIN/UEG
EIXO: EMPREENDEDOR</t>
  </si>
  <si>
    <t>DIAGNÓSTICO DE MATURIDADE DOS EMPREENDIMENTOS VINCULADOS AO PROIN/UEG
EIXO: TECNOLOGIA</t>
  </si>
  <si>
    <t>DIAGNÓSTICO DE MATURIDADE DOS EMPREENDIMENTOS VINCULADOS AO PROIN/UEG
EIXO: CAPITAL</t>
  </si>
  <si>
    <t>DIAGNÓSTICO DE MATURIDADE DOS EMPREENDIMENTOS VINCULADOS AO PROIN/UEG
EIXO: MERCADO</t>
  </si>
  <si>
    <t>DIAGNÓSTICO DE MATURIDADE DOS EMPREENDIMENTOS VINCULADOS AO PROIN/UEG
EIXO: GESTÃO</t>
  </si>
  <si>
    <t>DIAGNÓSTICO DE MATURIDADE DOS EMPREENDIMENTOS VINCULADOS AO PROIN/UEG
P E R F I L    E M P R E E N D E D O R    3</t>
  </si>
  <si>
    <t>DIAGNÓSTICO DE MATURIDADE DOS EMPREENDIMENTOS VINCULADOS AO PROIN/UEG
P E R F I L    E M P R E E N D E D O R    2</t>
  </si>
  <si>
    <t>1. Quando desconheço algo, não me importo em buscar informações necessárias para o entendimento do negócio.</t>
  </si>
  <si>
    <t>30. Realizaria vendas para clientes, ainda que não tenha lucro imediato, tendo em vista, futuras possibilidades de outros negócios com eles.</t>
  </si>
  <si>
    <t>Não existe reconhecimento e incentivos.</t>
  </si>
  <si>
    <t>Informalmente, existe reconhecimento e incentivo para os empreendedores quando alcançam os resultados esperados, porém, a orientação é de curto prazo.</t>
  </si>
  <si>
    <t>Formalmente, existe reconhecimento e incentivo para os empreendedores quando alcançam os resultados esperados, porém, a orientação continua sendo de curto prazo.</t>
  </si>
  <si>
    <t>Modelo de reconhecimento e incentivo formal orientado aos resultados de médio e longo prazos.</t>
  </si>
  <si>
    <t>4. Quanto a Análise de viabilidade (mercado, operacional, financeira, crescimento, produto/serviço) e Plano de Desenvolvimento do Produto/Serviço, necessários para o Planejamento do Negócio e do Produto, Serviço e/ou Tecnologia.</t>
  </si>
  <si>
    <t>1. Recursos/investimentos financeiros necessários para o desenvolvimento do produto e/ou serviço ou operação (venda e distribuição).</t>
  </si>
  <si>
    <t>5. Cultura de projetos e captação de recursos para desenvolvimento do produto e/ou serviço.</t>
  </si>
  <si>
    <t>Demandamos apoio financeiro total, ou seja, não dispomos dos recursos/investimentos necessários para o desenvolvimento do produto e/ou serviço ou operação e não contamos com o suporte de terceiros.</t>
  </si>
  <si>
    <t>Demandamos apoio financeiro parcial, ou seja, não dispomos dos recursos/investimentos necessários, porém, contamos com suporte de terceiros. O contrário também se aplica.</t>
  </si>
  <si>
    <t>Demandamos apoio financeiro parcial, ou seja, dispomos, parcialmente, dos recursos/investimentos necessários e, além disso, contamos com suporte também parcial de terceiros.</t>
  </si>
  <si>
    <t>Não demandamos apoio financeiro, ou seja, dispomos dos recursos/investimentos necessários e/ou contamos com suporte terceiros.</t>
  </si>
  <si>
    <t>Os empreendedores não enxergam a gestão de projetos e a oportunidade de captação de recursos como parte do processo de melhoria ou inovação do produto/serviço.</t>
  </si>
  <si>
    <t>Os empreendedores enxergam, informalmente, a gestão de projetos e a oportunidade de captação de recursos como parte do processo de melhoria ou inovação do produto/serviço.</t>
  </si>
  <si>
    <t>Para os empreendedores, a gestão de projetos e as captações de recursos podem oportunizar melhoria ou inovação do produto/serviço, considerando o exemplo prático de resultado vivenciado.</t>
  </si>
  <si>
    <t>A gestão de projetos e as captações de recursos são bases para melhoria ou inovação do produto/serviço, considerando alguns exemplos práticos de resultados vivenciados. Além disso, estão impulsionando o alcance da visão de futuro.</t>
  </si>
  <si>
    <t>Comentários:</t>
  </si>
  <si>
    <t>Empreendedor 4</t>
  </si>
  <si>
    <t>DIAGNÓSTICO DE MATURIDADE DOS EMPREENDIMENTOS VINCULADOS AO PROIN/UEG
P E R F I L    E M P R E E N D E D O R    4</t>
  </si>
  <si>
    <t>Empreendedores:</t>
  </si>
  <si>
    <t>Maturidade:</t>
  </si>
  <si>
    <t>Entregas:</t>
  </si>
  <si>
    <t>Total:</t>
  </si>
  <si>
    <t>TOTAL:</t>
  </si>
  <si>
    <t>5. Reconheço minha responsabilidade nas falhas e eventuais prejuízos financeiros do empreendimento.</t>
  </si>
  <si>
    <t>9. Reconhecimento e incentivo entre os empreendedores são praticados à medida que os resultados esperados são alcançados (regra clara na partilha dos resultados positivos e negativos). [NÃO SE APLICA À MODALIDADE DE PRÉ-INCUBAÇÃO]</t>
  </si>
  <si>
    <t>3. Os empreendedores praticam ações para desenvolvimento das caracteristicas empreendedoras.</t>
  </si>
  <si>
    <t>As caracteristicas empreendedoras não são conhecidas.</t>
  </si>
  <si>
    <t>As caracteristicas empreendedoras são conhecidas, porém não são reazadas ações para seu desenvolvimento.</t>
  </si>
  <si>
    <t>As caracteristicas empreendedoras são conhecidas e avaliadas e existem ações exporáticas para seu desenvolvimento.</t>
  </si>
  <si>
    <t>As caracteristicas empreendedoras estão sistematicamente sendo avaliadas e com ações de desenvolvimento.</t>
  </si>
  <si>
    <t xml:space="preserve">Comentários: </t>
  </si>
  <si>
    <t>1. Apresentou modelo de Negócio:</t>
  </si>
  <si>
    <t xml:space="preserve">2. Apresentou Plano de Negócio: </t>
  </si>
  <si>
    <t>3. Apresentou Plano Tecnológico:</t>
  </si>
  <si>
    <t>4. Apresentou Plano de Marketing:</t>
  </si>
  <si>
    <t>AVALIAÇÃO DA MATURIDADE DE EMPREENDIMENTOS INCUBADOS</t>
  </si>
  <si>
    <t>Diag. Anterior:</t>
  </si>
  <si>
    <t>Diag. Atual:</t>
  </si>
  <si>
    <t>2.1. Aumento do faturamento:</t>
  </si>
  <si>
    <t>2.2. Aumento da Lucratividade:</t>
  </si>
  <si>
    <t>2.3. Aumento da Taxa de Sucesso:</t>
  </si>
  <si>
    <t>2.4. Aumento do Ticket médio:</t>
  </si>
  <si>
    <t>2.5. Aumento da Capacidade produtiva:</t>
  </si>
  <si>
    <t>2.6. Aumento dos investimentos captados:</t>
  </si>
  <si>
    <t>2.7. Aumento do dimensionamento da equipe:</t>
  </si>
  <si>
    <t>2.8. Apresentou registros necessários:</t>
  </si>
  <si>
    <t>3.1. Desenvolvimento do produto:</t>
  </si>
  <si>
    <t>3.2. Aumento do investimento em novas tecnologias:</t>
  </si>
  <si>
    <t>4.1. Aumento do investimento em Marketing:</t>
  </si>
  <si>
    <t>4.2. Aumento de leads qualificados:</t>
  </si>
  <si>
    <t xml:space="preserve">1.1. Foram realizadas pesquisas de validação? </t>
  </si>
  <si>
    <t>5. Apresentou Sumário Executivo:</t>
  </si>
  <si>
    <t>Comentários:  no plano de negócio por exemplo.</t>
  </si>
  <si>
    <t>DIAGNÓSTICO DE MATURIDADE DOS EMPREENDIMENTOS VINCULADOS AO PROIN/UEG
P E R F I L    E M P R E E N D E D O R    1 (Aluísio M. Ramos)</t>
  </si>
  <si>
    <t>Ainda não comercializamos,</t>
  </si>
  <si>
    <t>Ainda não comercializamos.</t>
  </si>
  <si>
    <t>140l/mês</t>
  </si>
  <si>
    <t>480l/mês</t>
  </si>
  <si>
    <t>Comentários: não cabe em nosso negocio. Temos registro da marca e logotipo</t>
  </si>
  <si>
    <t xml:space="preserve">Comentários:  </t>
  </si>
  <si>
    <t>não temos foco de internacionalização</t>
  </si>
  <si>
    <t>Inicial</t>
  </si>
  <si>
    <t>Avanço</t>
  </si>
  <si>
    <t>Item Avaliado</t>
  </si>
  <si>
    <t>Questão Avaliada</t>
  </si>
  <si>
    <t>Perfil Empreendedor</t>
  </si>
  <si>
    <t>Discordo</t>
  </si>
  <si>
    <t>Discordo totalmente. Isso não acontece.</t>
  </si>
  <si>
    <t>Não discordo, porém, não concordo.</t>
  </si>
  <si>
    <t>Concordo.</t>
  </si>
  <si>
    <t>Concordo totalmente. Sempre acontece.</t>
  </si>
  <si>
    <t>2. As pessoas concordam comigo baseadas em meus argumentos ou estratégias que adoto.</t>
  </si>
  <si>
    <t>3. Escolho situações em que posso controlar ao máximo os resultados finais, considerando as possibilidades de êxito ou fracasso antes de agir.</t>
  </si>
  <si>
    <t>4. Diante as necessidades do mercado, implanto inovações em meus produtos/serviços ofertados pelo empreendimento na minha responsabilidade, ou amplio área geográfica de atuação do empreendimento.</t>
  </si>
  <si>
    <t>6. Acredito que posso ser bem sucedido em qualquer atividade que me proponho executar, mesmo sendo algo difícil ou desafiador.</t>
  </si>
  <si>
    <t>7. Meu rendimento no trabalho é bastante eficaz, pois faço as coisas de acordo com o que foi estabelecido, dando ênfase à otimização do tempo.</t>
  </si>
  <si>
    <t>8. Para mim, é mais importante a minha opinião do que a opinião de outras pessoas sobre o que faço e a maneira como eu faço.</t>
  </si>
  <si>
    <t>9. Executo minhas atividades bem como as atividades dos funcionários no dia a dia do empreendimento.</t>
  </si>
  <si>
    <t>10. Adoto, como parâmetro nas negociações, o ditado “quem não arrisca, não petisca”.</t>
  </si>
  <si>
    <t>11. Busco toda e qualquer informação disponível no mercado para utilizar no empreendimento.</t>
  </si>
  <si>
    <t>12. Sei, de forma clara, o que quero alcançar no horizonte de médio e longo prazos e estabeleço parâmetros que permitam medir e avaliar o meu desempenho.</t>
  </si>
  <si>
    <t>13. Faço as coisas preocupando-me com meus clientes, pois eles sempre têm razão e estão acima de qualquer coisa.</t>
  </si>
  <si>
    <t>14. Defino, a cada dia, o percentual de lucro que quero obter com o empreendimento.</t>
  </si>
  <si>
    <t>15. Quando tenho um projeto de grande porte, divido-o em tarefas mais simples, com prazos estabelecidos antecipadamente.</t>
  </si>
  <si>
    <t>16. Mesmo que eu já esteja obtendo bons resultados no empreendimento, encontro formas de melhorar o que faço (agilidade, custos, qualidade).</t>
  </si>
  <si>
    <t>17. Confio em minha capacidade de tomar decisões e solucionar problemas desafiantes que encontro na rotina do empreendimento.</t>
  </si>
  <si>
    <t>18. Na execução das atividades, minha intuição e criatividade são suficientes para decidir como fazer. Organização e controle são aspectos secundários.</t>
  </si>
  <si>
    <t>19. Identifico pessoas influentes e solicito apoio delas para alcançar minhas metas, pois somente assim consigo obter resultados positivos.</t>
  </si>
  <si>
    <t>20. Insisto várias vezes para conseguir o que pretendo.</t>
  </si>
  <si>
    <t>21. Aproveito, sem restrições, todas as oportunidades que surgem no mercado, pois elas trazem retorno financeiro.</t>
  </si>
  <si>
    <t>22. Com objetivos comerciais, envio mensagens / brindes aos clientes em datas especiais.</t>
  </si>
  <si>
    <t>23. Faço controles financeiros por meio de registros e utilizo esses dados para subsidiar as minhas decisões.</t>
  </si>
  <si>
    <t>24. Quando encontro dificuldades na execução de uma atividade, permito-me aguardar um tempo até que elas se resolvam.</t>
  </si>
  <si>
    <t>25. Quando necessário, trabalho muito e com afinco, para completar uma tarefa ou alcançar um objetivo.</t>
  </si>
  <si>
    <t>26. Faço coisas que, na opinião dos outros, são arriscadas.</t>
  </si>
  <si>
    <t>27. Minhas ações diárias são fortemente influenciadas por meus objetivos de vida no médio e longo prazos.</t>
  </si>
  <si>
    <t>29. Encontro oportunidades de novos negócios quando identifico necessidades ou diagnostico problemas reais.</t>
  </si>
  <si>
    <t>Moderado</t>
  </si>
  <si>
    <t>Otimizado</t>
  </si>
  <si>
    <t>Levemente Otimizado</t>
  </si>
  <si>
    <t>Levemente Inicial</t>
  </si>
  <si>
    <t>Empreendedor 1</t>
  </si>
  <si>
    <t>Empreendedor 2</t>
  </si>
  <si>
    <t>Empreendedor 3</t>
  </si>
  <si>
    <t>Respostas Empreendedores</t>
  </si>
  <si>
    <t xml:space="preserve">28. Visito feiras e participo de eventos e cursos correlatos ao meu empreendimento para conhecer novos produtos, serviços e fornecedores. </t>
  </si>
  <si>
    <r>
      <t xml:space="preserve">O </t>
    </r>
    <r>
      <rPr>
        <b/>
        <sz val="12"/>
        <color indexed="8"/>
        <rFont val="Calibri"/>
        <family val="2"/>
      </rPr>
      <t>OBJETIVO</t>
    </r>
    <r>
      <rPr>
        <sz val="12"/>
        <color indexed="8"/>
        <rFont val="Calibri"/>
        <family val="2"/>
      </rPr>
      <t xml:space="preserve"> desse questionário é </t>
    </r>
    <r>
      <rPr>
        <b/>
        <sz val="12"/>
        <color indexed="8"/>
        <rFont val="Calibri"/>
        <family val="2"/>
      </rPr>
      <t>IDENTIFICAR</t>
    </r>
    <r>
      <rPr>
        <sz val="12"/>
        <color indexed="8"/>
        <rFont val="Calibri"/>
        <family val="2"/>
      </rPr>
      <t xml:space="preserve"> os principais </t>
    </r>
    <r>
      <rPr>
        <b/>
        <sz val="12"/>
        <color indexed="8"/>
        <rFont val="Calibri"/>
        <family val="2"/>
      </rPr>
      <t>DIRECIONADORES</t>
    </r>
    <r>
      <rPr>
        <sz val="12"/>
        <color indexed="8"/>
        <rFont val="Calibri"/>
        <family val="2"/>
      </rPr>
      <t xml:space="preserve"> capazes de oportunizar a </t>
    </r>
    <r>
      <rPr>
        <b/>
        <sz val="12"/>
        <color indexed="8"/>
        <rFont val="Calibri"/>
        <family val="2"/>
      </rPr>
      <t>DEFINIÇÃO DE ESTRATÉGIAS</t>
    </r>
    <r>
      <rPr>
        <sz val="12"/>
        <color indexed="8"/>
        <rFont val="Calibri"/>
        <family val="2"/>
      </rPr>
      <t xml:space="preserve">, </t>
    </r>
    <r>
      <rPr>
        <b/>
        <sz val="12"/>
        <color indexed="8"/>
        <rFont val="Calibri"/>
        <family val="2"/>
      </rPr>
      <t>METAS</t>
    </r>
    <r>
      <rPr>
        <sz val="12"/>
        <color indexed="8"/>
        <rFont val="Calibri"/>
        <family val="2"/>
      </rPr>
      <t xml:space="preserve"> e </t>
    </r>
    <r>
      <rPr>
        <b/>
        <sz val="12"/>
        <color indexed="8"/>
        <rFont val="Calibri"/>
        <family val="2"/>
      </rPr>
      <t>AÇÕES</t>
    </r>
    <r>
      <rPr>
        <sz val="12"/>
        <color indexed="8"/>
        <rFont val="Calibri"/>
        <family val="2"/>
      </rPr>
      <t xml:space="preserve"> que possibilitem o </t>
    </r>
    <r>
      <rPr>
        <b/>
        <sz val="12"/>
        <color indexed="8"/>
        <rFont val="Calibri"/>
        <family val="2"/>
      </rPr>
      <t>DESENVOLVIMENTO</t>
    </r>
    <r>
      <rPr>
        <sz val="12"/>
        <color indexed="8"/>
        <rFont val="Calibri"/>
        <family val="2"/>
      </rPr>
      <t xml:space="preserve"> </t>
    </r>
    <r>
      <rPr>
        <b/>
        <sz val="12"/>
        <color indexed="8"/>
        <rFont val="Calibri"/>
        <family val="2"/>
      </rPr>
      <t>COMERCIAL</t>
    </r>
    <r>
      <rPr>
        <sz val="12"/>
        <color indexed="8"/>
        <rFont val="Calibri"/>
        <family val="2"/>
      </rPr>
      <t xml:space="preserve"> dos </t>
    </r>
    <r>
      <rPr>
        <b/>
        <sz val="12"/>
        <color indexed="8"/>
        <rFont val="Calibri"/>
        <family val="2"/>
      </rPr>
      <t>EMPREENDIMENTOS</t>
    </r>
    <r>
      <rPr>
        <sz val="12"/>
        <color indexed="8"/>
        <rFont val="Calibri"/>
        <family val="2"/>
      </rPr>
      <t xml:space="preserve"> vinculados ao Programa de Incubadoras da Universidade Estadual de Goiás - PROIN/UEG.</t>
    </r>
  </si>
  <si>
    <r>
      <t xml:space="preserve">O </t>
    </r>
    <r>
      <rPr>
        <b/>
        <sz val="12"/>
        <color indexed="8"/>
        <rFont val="Calibri"/>
        <family val="2"/>
      </rPr>
      <t>OBJETIVO</t>
    </r>
    <r>
      <rPr>
        <sz val="12"/>
        <color indexed="8"/>
        <rFont val="Calibri"/>
        <family val="2"/>
      </rPr>
      <t xml:space="preserve"> desse questionário é auxiliar na </t>
    </r>
    <r>
      <rPr>
        <b/>
        <sz val="12"/>
        <color indexed="8"/>
        <rFont val="Calibri"/>
        <family val="2"/>
      </rPr>
      <t xml:space="preserve">IDENTIFICAÇÃO </t>
    </r>
    <r>
      <rPr>
        <sz val="12"/>
        <color indexed="8"/>
        <rFont val="Calibri"/>
        <family val="2"/>
      </rPr>
      <t xml:space="preserve">dos principais </t>
    </r>
    <r>
      <rPr>
        <b/>
        <sz val="12"/>
        <color indexed="8"/>
        <rFont val="Calibri"/>
        <family val="2"/>
      </rPr>
      <t>DIRECIONADORES</t>
    </r>
    <r>
      <rPr>
        <sz val="12"/>
        <color indexed="8"/>
        <rFont val="Calibri"/>
        <family val="2"/>
      </rPr>
      <t xml:space="preserve"> capazes de oportunizar a </t>
    </r>
    <r>
      <rPr>
        <b/>
        <sz val="12"/>
        <color indexed="8"/>
        <rFont val="Calibri"/>
        <family val="2"/>
      </rPr>
      <t>DEFINIÇÃO DE ESTRATÉGIAS</t>
    </r>
    <r>
      <rPr>
        <sz val="12"/>
        <color indexed="8"/>
        <rFont val="Calibri"/>
        <family val="2"/>
      </rPr>
      <t xml:space="preserve">, </t>
    </r>
    <r>
      <rPr>
        <b/>
        <sz val="12"/>
        <color indexed="8"/>
        <rFont val="Calibri"/>
        <family val="2"/>
      </rPr>
      <t>METAS</t>
    </r>
    <r>
      <rPr>
        <sz val="12"/>
        <color indexed="8"/>
        <rFont val="Calibri"/>
        <family val="2"/>
      </rPr>
      <t xml:space="preserve"> e </t>
    </r>
    <r>
      <rPr>
        <b/>
        <sz val="12"/>
        <color indexed="8"/>
        <rFont val="Calibri"/>
        <family val="2"/>
      </rPr>
      <t>AÇÕES</t>
    </r>
    <r>
      <rPr>
        <sz val="12"/>
        <color indexed="8"/>
        <rFont val="Calibri"/>
        <family val="2"/>
      </rPr>
      <t xml:space="preserve"> para o </t>
    </r>
    <r>
      <rPr>
        <b/>
        <sz val="12"/>
        <color indexed="8"/>
        <rFont val="Calibri"/>
        <family val="2"/>
      </rPr>
      <t>DESENVOLVIMENTO</t>
    </r>
    <r>
      <rPr>
        <sz val="12"/>
        <color indexed="8"/>
        <rFont val="Calibri"/>
        <family val="2"/>
      </rPr>
      <t xml:space="preserve"> dos </t>
    </r>
    <r>
      <rPr>
        <b/>
        <sz val="12"/>
        <color indexed="8"/>
        <rFont val="Calibri"/>
        <family val="2"/>
      </rPr>
      <t>EMPREENDEDORES</t>
    </r>
    <r>
      <rPr>
        <sz val="12"/>
        <color indexed="8"/>
        <rFont val="Calibri"/>
        <family val="2"/>
      </rPr>
      <t xml:space="preserve"> vinculados ao Programa de Incubadoras da Universidade Estadual do Estado de Goiás - PROIN/UEG.</t>
    </r>
  </si>
  <si>
    <r>
      <t xml:space="preserve">O </t>
    </r>
    <r>
      <rPr>
        <b/>
        <sz val="12"/>
        <color indexed="8"/>
        <rFont val="Calibri"/>
        <family val="2"/>
      </rPr>
      <t>OBJETIVO</t>
    </r>
    <r>
      <rPr>
        <sz val="12"/>
        <color indexed="8"/>
        <rFont val="Calibri"/>
        <family val="2"/>
      </rPr>
      <t xml:space="preserve"> desse questionário é </t>
    </r>
    <r>
      <rPr>
        <b/>
        <sz val="12"/>
        <color indexed="8"/>
        <rFont val="Calibri"/>
        <family val="2"/>
      </rPr>
      <t>IDENTIFICAR</t>
    </r>
    <r>
      <rPr>
        <sz val="12"/>
        <color indexed="8"/>
        <rFont val="Calibri"/>
        <family val="2"/>
      </rPr>
      <t xml:space="preserve"> os principais </t>
    </r>
    <r>
      <rPr>
        <b/>
        <sz val="12"/>
        <color indexed="8"/>
        <rFont val="Calibri"/>
        <family val="2"/>
      </rPr>
      <t>DIRECIONADORES</t>
    </r>
    <r>
      <rPr>
        <sz val="12"/>
        <color indexed="8"/>
        <rFont val="Calibri"/>
        <family val="2"/>
      </rPr>
      <t xml:space="preserve"> capazes de oportunizar a </t>
    </r>
    <r>
      <rPr>
        <b/>
        <sz val="12"/>
        <color indexed="8"/>
        <rFont val="Calibri"/>
        <family val="2"/>
      </rPr>
      <t>DEFINIÇÃO DE ESTRATÉGIAS</t>
    </r>
    <r>
      <rPr>
        <sz val="12"/>
        <color indexed="8"/>
        <rFont val="Calibri"/>
        <family val="2"/>
      </rPr>
      <t xml:space="preserve">, </t>
    </r>
    <r>
      <rPr>
        <b/>
        <sz val="12"/>
        <color indexed="8"/>
        <rFont val="Calibri"/>
        <family val="2"/>
      </rPr>
      <t>METAS</t>
    </r>
    <r>
      <rPr>
        <sz val="12"/>
        <color indexed="8"/>
        <rFont val="Calibri"/>
        <family val="2"/>
      </rPr>
      <t xml:space="preserve"> e </t>
    </r>
    <r>
      <rPr>
        <b/>
        <sz val="12"/>
        <color indexed="8"/>
        <rFont val="Calibri"/>
        <family val="2"/>
      </rPr>
      <t>AÇÕES</t>
    </r>
    <r>
      <rPr>
        <sz val="12"/>
        <color indexed="8"/>
        <rFont val="Calibri"/>
        <family val="2"/>
      </rPr>
      <t xml:space="preserve"> sobre a </t>
    </r>
    <r>
      <rPr>
        <b/>
        <sz val="12"/>
        <color indexed="8"/>
        <rFont val="Calibri"/>
        <family val="2"/>
      </rPr>
      <t>INSTALAÇÃO</t>
    </r>
    <r>
      <rPr>
        <sz val="12"/>
        <color indexed="8"/>
        <rFont val="Calibri"/>
        <family val="2"/>
      </rPr>
      <t xml:space="preserve"> e o </t>
    </r>
    <r>
      <rPr>
        <b/>
        <sz val="12"/>
        <color indexed="8"/>
        <rFont val="Calibri"/>
        <family val="2"/>
      </rPr>
      <t>CRESCIMENTO</t>
    </r>
    <r>
      <rPr>
        <sz val="12"/>
        <color indexed="8"/>
        <rFont val="Calibri"/>
        <family val="2"/>
      </rPr>
      <t xml:space="preserve"> dos </t>
    </r>
    <r>
      <rPr>
        <b/>
        <sz val="12"/>
        <color indexed="8"/>
        <rFont val="Calibri"/>
        <family val="2"/>
      </rPr>
      <t>EMPREENDIMENTOS</t>
    </r>
    <r>
      <rPr>
        <sz val="12"/>
        <color indexed="8"/>
        <rFont val="Calibri"/>
        <family val="2"/>
      </rPr>
      <t xml:space="preserve"> vinculados ao Programa de Incubadoras da Universidade Estadual de Goiás - PROIN/UEG, considerando seus diferentes aspectos (recursos financeiros, humanos, dentre outros).</t>
    </r>
  </si>
  <si>
    <r>
      <t xml:space="preserve">O </t>
    </r>
    <r>
      <rPr>
        <b/>
        <sz val="12"/>
        <color indexed="8"/>
        <rFont val="Calibri"/>
        <family val="2"/>
      </rPr>
      <t>OBJETIVO</t>
    </r>
    <r>
      <rPr>
        <sz val="12"/>
        <color indexed="8"/>
        <rFont val="Calibri"/>
        <family val="2"/>
      </rPr>
      <t xml:space="preserve"> desse questionário é </t>
    </r>
    <r>
      <rPr>
        <b/>
        <sz val="12"/>
        <color indexed="8"/>
        <rFont val="Calibri"/>
        <family val="2"/>
      </rPr>
      <t>IDENTIFICAR</t>
    </r>
    <r>
      <rPr>
        <sz val="12"/>
        <color indexed="8"/>
        <rFont val="Calibri"/>
        <family val="2"/>
      </rPr>
      <t xml:space="preserve"> os principais </t>
    </r>
    <r>
      <rPr>
        <b/>
        <sz val="12"/>
        <color indexed="8"/>
        <rFont val="Calibri"/>
        <family val="2"/>
      </rPr>
      <t>DIRECIONADORES</t>
    </r>
    <r>
      <rPr>
        <sz val="12"/>
        <color indexed="8"/>
        <rFont val="Calibri"/>
        <family val="2"/>
      </rPr>
      <t xml:space="preserve"> capazes de oportunizar a </t>
    </r>
    <r>
      <rPr>
        <b/>
        <sz val="12"/>
        <color indexed="8"/>
        <rFont val="Calibri"/>
        <family val="2"/>
      </rPr>
      <t>DEFINIÇÃO DE ESTRATÉGIAS</t>
    </r>
    <r>
      <rPr>
        <sz val="12"/>
        <color indexed="8"/>
        <rFont val="Calibri"/>
        <family val="2"/>
      </rPr>
      <t xml:space="preserve">, </t>
    </r>
    <r>
      <rPr>
        <b/>
        <sz val="12"/>
        <color indexed="8"/>
        <rFont val="Calibri"/>
        <family val="2"/>
      </rPr>
      <t>METAS</t>
    </r>
    <r>
      <rPr>
        <sz val="12"/>
        <color indexed="8"/>
        <rFont val="Calibri"/>
        <family val="2"/>
      </rPr>
      <t xml:space="preserve"> e </t>
    </r>
    <r>
      <rPr>
        <b/>
        <sz val="12"/>
        <color indexed="8"/>
        <rFont val="Calibri"/>
        <family val="2"/>
      </rPr>
      <t>AÇÕES</t>
    </r>
    <r>
      <rPr>
        <sz val="12"/>
        <color indexed="8"/>
        <rFont val="Calibri"/>
        <family val="2"/>
      </rPr>
      <t xml:space="preserve"> para o </t>
    </r>
    <r>
      <rPr>
        <b/>
        <sz val="12"/>
        <color indexed="8"/>
        <rFont val="Calibri"/>
        <family val="2"/>
      </rPr>
      <t>DESENVOLVIMENTO</t>
    </r>
    <r>
      <rPr>
        <sz val="12"/>
        <color indexed="8"/>
        <rFont val="Calibri"/>
        <family val="2"/>
      </rPr>
      <t xml:space="preserve"> dos </t>
    </r>
    <r>
      <rPr>
        <b/>
        <sz val="12"/>
        <color indexed="8"/>
        <rFont val="Calibri"/>
        <family val="2"/>
      </rPr>
      <t>EMPREENDEDORES</t>
    </r>
    <r>
      <rPr>
        <sz val="12"/>
        <color indexed="8"/>
        <rFont val="Calibri"/>
        <family val="2"/>
      </rPr>
      <t xml:space="preserve"> vinculados ao Programa de Incubadoras da Universidade Estadual do Estado de Goiás - PROIN/UEG.</t>
    </r>
  </si>
  <si>
    <r>
      <t xml:space="preserve">O </t>
    </r>
    <r>
      <rPr>
        <b/>
        <sz val="12"/>
        <color indexed="8"/>
        <rFont val="Calibri"/>
        <family val="2"/>
      </rPr>
      <t>OBJETIVO</t>
    </r>
    <r>
      <rPr>
        <sz val="12"/>
        <color indexed="8"/>
        <rFont val="Calibri"/>
        <family val="2"/>
      </rPr>
      <t xml:space="preserve"> desse questionário é </t>
    </r>
    <r>
      <rPr>
        <b/>
        <sz val="12"/>
        <color indexed="8"/>
        <rFont val="Calibri"/>
        <family val="2"/>
      </rPr>
      <t>IDENTIFICAR</t>
    </r>
    <r>
      <rPr>
        <sz val="12"/>
        <color indexed="8"/>
        <rFont val="Calibri"/>
        <family val="2"/>
      </rPr>
      <t xml:space="preserve"> os principais </t>
    </r>
    <r>
      <rPr>
        <b/>
        <sz val="12"/>
        <color indexed="8"/>
        <rFont val="Calibri"/>
        <family val="2"/>
      </rPr>
      <t>DIRECIONADORES</t>
    </r>
    <r>
      <rPr>
        <sz val="12"/>
        <color indexed="8"/>
        <rFont val="Calibri"/>
        <family val="2"/>
      </rPr>
      <t xml:space="preserve"> capazes de oportunizar a </t>
    </r>
    <r>
      <rPr>
        <b/>
        <sz val="12"/>
        <color indexed="8"/>
        <rFont val="Calibri"/>
        <family val="2"/>
      </rPr>
      <t>DEFINIÇÃO DE ESTRATÉGIAS</t>
    </r>
    <r>
      <rPr>
        <sz val="12"/>
        <color indexed="8"/>
        <rFont val="Calibri"/>
        <family val="2"/>
      </rPr>
      <t xml:space="preserve">, </t>
    </r>
    <r>
      <rPr>
        <b/>
        <sz val="12"/>
        <color indexed="8"/>
        <rFont val="Calibri"/>
        <family val="2"/>
      </rPr>
      <t>METAS</t>
    </r>
    <r>
      <rPr>
        <sz val="12"/>
        <color indexed="8"/>
        <rFont val="Calibri"/>
        <family val="2"/>
      </rPr>
      <t xml:space="preserve"> e </t>
    </r>
    <r>
      <rPr>
        <b/>
        <sz val="12"/>
        <color indexed="8"/>
        <rFont val="Calibri"/>
        <family val="2"/>
      </rPr>
      <t>AÇÕES</t>
    </r>
    <r>
      <rPr>
        <sz val="12"/>
        <color indexed="8"/>
        <rFont val="Calibri"/>
        <family val="2"/>
      </rPr>
      <t xml:space="preserve"> que possibilitem </t>
    </r>
    <r>
      <rPr>
        <b/>
        <sz val="12"/>
        <color indexed="8"/>
        <rFont val="Calibri"/>
        <family val="2"/>
      </rPr>
      <t>CARACTERIZAR</t>
    </r>
    <r>
      <rPr>
        <sz val="12"/>
        <color indexed="8"/>
        <rFont val="Calibri"/>
        <family val="2"/>
      </rPr>
      <t xml:space="preserve"> a </t>
    </r>
    <r>
      <rPr>
        <b/>
        <sz val="12"/>
        <color indexed="8"/>
        <rFont val="Calibri"/>
        <family val="2"/>
      </rPr>
      <t>SOLUÇÃO INOVADORA</t>
    </r>
    <r>
      <rPr>
        <sz val="12"/>
        <color indexed="8"/>
        <rFont val="Calibri"/>
        <family val="2"/>
      </rPr>
      <t xml:space="preserve"> (tecnologia, produtos, serviços) oferecida pelos </t>
    </r>
    <r>
      <rPr>
        <b/>
        <sz val="12"/>
        <color indexed="8"/>
        <rFont val="Calibri"/>
        <family val="2"/>
      </rPr>
      <t>EMPREENDIMENTOS</t>
    </r>
    <r>
      <rPr>
        <sz val="12"/>
        <color indexed="8"/>
        <rFont val="Calibri"/>
        <family val="2"/>
      </rPr>
      <t xml:space="preserve"> vinculados ao Programa de Incubadoras da Universidade Estadual de Goiás - PROIN/UEG, para atender as necessidades e demandas de clientes.</t>
    </r>
  </si>
  <si>
    <r>
      <t xml:space="preserve">O </t>
    </r>
    <r>
      <rPr>
        <b/>
        <sz val="12"/>
        <color indexed="8"/>
        <rFont val="Calibri"/>
        <family val="2"/>
      </rPr>
      <t>OBJETIVO</t>
    </r>
    <r>
      <rPr>
        <sz val="12"/>
        <color indexed="8"/>
        <rFont val="Calibri"/>
        <family val="2"/>
      </rPr>
      <t xml:space="preserve"> desse questionário é </t>
    </r>
    <r>
      <rPr>
        <b/>
        <sz val="12"/>
        <color indexed="8"/>
        <rFont val="Calibri"/>
        <family val="2"/>
      </rPr>
      <t>IDENTIFICAR</t>
    </r>
    <r>
      <rPr>
        <sz val="12"/>
        <color indexed="8"/>
        <rFont val="Calibri"/>
        <family val="2"/>
      </rPr>
      <t xml:space="preserve"> os principais </t>
    </r>
    <r>
      <rPr>
        <b/>
        <sz val="12"/>
        <color indexed="8"/>
        <rFont val="Calibri"/>
        <family val="2"/>
      </rPr>
      <t>DIRECIONADORES</t>
    </r>
    <r>
      <rPr>
        <sz val="12"/>
        <color indexed="8"/>
        <rFont val="Calibri"/>
        <family val="2"/>
      </rPr>
      <t xml:space="preserve"> capazes de oportunizar a </t>
    </r>
    <r>
      <rPr>
        <b/>
        <sz val="12"/>
        <color indexed="8"/>
        <rFont val="Calibri"/>
        <family val="2"/>
      </rPr>
      <t>DEFINIÇÃO DE ESTRATÉGIAS</t>
    </r>
    <r>
      <rPr>
        <sz val="12"/>
        <color indexed="8"/>
        <rFont val="Calibri"/>
        <family val="2"/>
      </rPr>
      <t xml:space="preserve">, </t>
    </r>
    <r>
      <rPr>
        <b/>
        <sz val="12"/>
        <color indexed="8"/>
        <rFont val="Calibri"/>
        <family val="2"/>
      </rPr>
      <t>METAS</t>
    </r>
    <r>
      <rPr>
        <sz val="12"/>
        <color indexed="8"/>
        <rFont val="Calibri"/>
        <family val="2"/>
      </rPr>
      <t xml:space="preserve"> e </t>
    </r>
    <r>
      <rPr>
        <b/>
        <sz val="12"/>
        <color indexed="8"/>
        <rFont val="Calibri"/>
        <family val="2"/>
      </rPr>
      <t>AÇÕES</t>
    </r>
    <r>
      <rPr>
        <sz val="12"/>
        <color indexed="8"/>
        <rFont val="Calibri"/>
        <family val="2"/>
      </rPr>
      <t xml:space="preserve"> de </t>
    </r>
    <r>
      <rPr>
        <b/>
        <sz val="12"/>
        <color indexed="8"/>
        <rFont val="Calibri"/>
        <family val="2"/>
      </rPr>
      <t>ALAVANCAGEM</t>
    </r>
    <r>
      <rPr>
        <sz val="12"/>
        <color indexed="8"/>
        <rFont val="Calibri"/>
        <family val="2"/>
      </rPr>
      <t xml:space="preserve"> de </t>
    </r>
    <r>
      <rPr>
        <b/>
        <sz val="12"/>
        <color indexed="8"/>
        <rFont val="Calibri"/>
        <family val="2"/>
      </rPr>
      <t>CAPITAL</t>
    </r>
    <r>
      <rPr>
        <sz val="12"/>
        <color indexed="8"/>
        <rFont val="Calibri"/>
        <family val="2"/>
      </rPr>
      <t xml:space="preserve"> ao longo do processo de evolução dos </t>
    </r>
    <r>
      <rPr>
        <b/>
        <sz val="12"/>
        <color indexed="8"/>
        <rFont val="Calibri"/>
        <family val="2"/>
      </rPr>
      <t>EMPREENDIMENTOS</t>
    </r>
    <r>
      <rPr>
        <sz val="12"/>
        <color indexed="8"/>
        <rFont val="Calibri"/>
        <family val="2"/>
      </rPr>
      <t xml:space="preserve"> vinculados ao Programa de Incubadoras da Universidade Estadual de Goiás - PROIN/UEG, considerando seus diferentes aspectos (recursos financeiros, humanos, dentre outros).</t>
    </r>
  </si>
  <si>
    <t>Respostas Empreendimentos</t>
  </si>
  <si>
    <t>Eixo: Empreendedor</t>
  </si>
  <si>
    <t>Eixo: Tecnologia</t>
  </si>
  <si>
    <t>Eixo: Capital</t>
  </si>
  <si>
    <t>Eixo: Mercado</t>
  </si>
  <si>
    <t>Eixo: Gestão</t>
  </si>
  <si>
    <t>2. Os empreendedores possuem formação prática em empreendedorismo.</t>
  </si>
  <si>
    <t>4. As funções e as responsabilidades dos empreendedores estão definidas.</t>
  </si>
  <si>
    <t>5. Qualidade das decisões dos empreendedores.</t>
  </si>
  <si>
    <t>6. Decisões estratégicas e decisões de rotina.</t>
  </si>
  <si>
    <t>7. Decisões assertivas e no momento oportuno.</t>
  </si>
  <si>
    <t>Os empreendedores não investem em seu desenvolvimento.</t>
  </si>
  <si>
    <t>Os empreendedores investem esporadicamente em seu desenvolvimento gerencial, mas não aplicam os conhecimentos adquiridos no empreendimento.</t>
  </si>
  <si>
    <t>Os empreendedores investem esporadicamente em seu desenvolvimento gerencial, e aplicam os conhecimentos adquiridos no empreendimento.</t>
  </si>
  <si>
    <t>Os empreendedores investem regularmente em seu desenvolvimento gerencial, e aplicam os conhecimentos adquiridos no empreendimento.</t>
  </si>
  <si>
    <t>Os empreendedores não possuem formação prática em empreendedorismo.</t>
  </si>
  <si>
    <t>Os empreendedores possuem formação em empreendedorismo, porém, não é prática.</t>
  </si>
  <si>
    <t>Os empreendedores possuem formação prática em empreendedorismo, porém, não aplicam o conhecimento adquirido no empreendimento.</t>
  </si>
  <si>
    <t>Os empreendedores possuem formação prática em empreendedorismo e aplicam o conhecimento adquirido no empreendimento.</t>
  </si>
  <si>
    <t>As funções e as responsabilidades não estão definidas.</t>
  </si>
  <si>
    <t>As funções e as responsabilidades estão definidas informalmente.</t>
  </si>
  <si>
    <t>Boa parte das funções e das responsabilidades estão definidas e documentadas formalmente.</t>
  </si>
  <si>
    <t>Funções e responsabilidades estão definidas e documentadas formalmente.</t>
  </si>
  <si>
    <t>A cultura é de tomada de decisões operacionais, fundamentalmente orientadas ao curto prazo, não permitindo reflexões de médio e curto prazos reuniões entre os empreendedores.</t>
  </si>
  <si>
    <t>As reuniões entre os empreendedores não seguem um calendário regular e, apesar de alguma avaliação dos resultados do negócio, apresentam instabilidade entre o olhar de longo prazo e o foco nas decisões de curto prazo.</t>
  </si>
  <si>
    <t>As decisões de longo prazo são feitas a partir de um processo de decisão estruturado, que assegura a análise das principais alternativas para o negócio.</t>
  </si>
  <si>
    <t>O foco das reuniões entre os empreendedores está no longo prazo e as decisões, tomadas a partir da análise aprofundada dos problemas de negócios, trazem imediato reflexo nas diretrizes de médio e longo prazos.</t>
  </si>
  <si>
    <t>Quase a totalidade das decisões tomadas pelos empreendedores são com foco na rotina.</t>
  </si>
  <si>
    <t>Grande parte das decisões tomadas pelos empreendedores são com foco na rotina e operacionais, e algumas poucas, estratégicas.</t>
  </si>
  <si>
    <t>Equilibrio nas decisões dos empreendedores entre as de rotina e as estratégicas, sendo que as estratégicas, realmente focam no longo prazo.</t>
  </si>
  <si>
    <t>Quase a totalidade das decisões tomadas pelos empreendedores são estratégicas com foco no longo prazo.</t>
  </si>
  <si>
    <t>Quase a totalidade das decisões tomadas pelos empreendedores não são assertivas, nem no momento oportuno.</t>
  </si>
  <si>
    <t>Equilibrio nas decisões dos empreendedores entre erros e acertos, porém, a maior parte atrasada.</t>
  </si>
  <si>
    <t>Equilibrio nas decisões dos empreendedores entre erros e acertos, sendo a maior parte em momento oportuno.</t>
  </si>
  <si>
    <t>Quase a totalidade das decisões tomadas pelos empreendedores são assertivas e no momento oportuno</t>
  </si>
  <si>
    <t>Grande parte das decisões tomadas pelos empreendedores não há consenso.</t>
  </si>
  <si>
    <t>Equilibrio nas decisões tomadas pelos empreendedores entre consenso e não consenso, prevalescendo os casos de não consenso.</t>
  </si>
  <si>
    <t>Equilibrio nas decisões tomadas pelos empreendedores entre consenso e não consenso, prevalescendo os casos de consenso.</t>
  </si>
  <si>
    <t>Quase a totalidade das decisões tomadas pelos empreendedores há consenso.</t>
  </si>
  <si>
    <t>1. Modelo de negócio, proposta de valor e validações iniciais.</t>
  </si>
  <si>
    <t>A proposta de valor não está bem definida. Os principais elementos que constituem o modelo de negócio do empreendimento são desconhecidos. Validações não foram oportunizadas.</t>
  </si>
  <si>
    <t>A proposta de valor está definida. Os principais elementos que constituem o modelo de negócio do empreendimento são desconhecidos. Validações não foram oportunizadas.</t>
  </si>
  <si>
    <t>A proposta de valor está definida. Os principais elementos que constituem o modelo de negócio do empreendimento são conhecidos. Validações não foram oportunizadas.</t>
  </si>
  <si>
    <t>A proposta de valor está definida. Os principais elementos que constituem o modelo de negócio do empreendimento são conhecidos. Validações foram oportunizadas, porém, é resultado de um processo informal de validação.</t>
  </si>
  <si>
    <t>Não foram oportunizadas validações para o tripé de sustentação do negócio.</t>
  </si>
  <si>
    <t>Foram oportunizadas validações para o tripé de sustentação do negócio, porém, é resultado de um processo informal de validação.</t>
  </si>
  <si>
    <t>Foram oportunizadas validações formais para o tripé de sustentação do negócio.</t>
  </si>
  <si>
    <t>O tripe de sustentação do negócio validado. Além disso, as informações obtidas constituem elementos centrais no nosso processo de decisão e operação.</t>
  </si>
  <si>
    <t>Não existe protótipo ou MVP da solução inovadora.</t>
  </si>
  <si>
    <t>O protótipo ou MVP da solução inovadora está sendo desenvolvido. Além disso, o fluxo do processo de prestação do serviço ou comercialização do produto está parcialmente definido.</t>
  </si>
  <si>
    <t>O protótipo ou MVP da solução inovadora e o fluxo do processo de prestação do serviço ou comercialização do produto estão definidos.</t>
  </si>
  <si>
    <t>O protótipo ou MVP da solução inovadora e o fluxo do processo de prestação do serviço ou comercialização do produto estão definidos. Além disso, já foram conduzidos testes e a solução está pronta para iniciar a monetização do negócio.</t>
  </si>
  <si>
    <t>As viabilidades não foram determinadas como parte do processo de validação do tripé de sustentação do negócio. O plano de Desenvolvimento do Produto/Serviço não existe.</t>
  </si>
  <si>
    <t>As viabilidades foram determinadas informalmente. O Plano de Desenvolvimento do Produto/Serviço não existe.</t>
  </si>
  <si>
    <t>As viabilidades foram determinadas formalmente. O Plano de Desenvolvimento do Produto/Serviço foi elaborado.</t>
  </si>
  <si>
    <t>Viabilidades determinadas. Plano de Desenvolvimento do Produto/Serviço elaborado. Informações obtidas constituem elementos centrais do nosso processo de desenvolvimento, sendo complementares ao modelo de negócios e proposta de valor.</t>
  </si>
  <si>
    <t>Os registros e as licenças necessárias à operação não são conhecidas.</t>
  </si>
  <si>
    <t>Alguns registros e algumas licenças necessárias à operação são conhecidas, mas não estão disponíveis.</t>
  </si>
  <si>
    <t>Os registros e as licenças necessárias à operação são conhecidas, mas não estão disponíveis.</t>
  </si>
  <si>
    <t>Os registros e as licenças necessárias à operação são conhecidas e estão disponíveis.</t>
  </si>
  <si>
    <t>A propriedade intelectual/patente, necessários à segurança do negócio e da operação não são conhecidos.</t>
  </si>
  <si>
    <t>A propriedade intelectual/patente, necessários à segurança do negócio e da operação são conhecidos, porém, não foram providenciadas.</t>
  </si>
  <si>
    <t>A propriedade intelectual/patente, necessários à segurança do negócio e da operação são conhecidos, porém, estão sendo providenciados.</t>
  </si>
  <si>
    <t>A propriedade intelectual/patente, necessários à segurança do negócio e da operação são conhecidos e estão disponíveis. Além disso, são atualizadas, considerando requisitos do negócio e exigências legais.</t>
  </si>
  <si>
    <t>Não são obtidas informações comparativas para análise do desempenho e melhoria dos produtos/serviços ou inovação.</t>
  </si>
  <si>
    <t>Ocasionalmente, ou seja, sem esforço direto dos empreendedores, são obtidas informações comparativas para análise do desempenho dos produtos/serviços.</t>
  </si>
  <si>
    <t>Regularmente, ou seja, com esforço direto dos empreendedores, são obtidas informações comparativas para análise do desempenho dos produtos/serviços.</t>
  </si>
  <si>
    <t>Informações comparativas para análise do desempenho oportunizam/oportunizaram melhoria dos produtos/serviços ou inovação.</t>
  </si>
  <si>
    <t>4. Alavancagem financeira.</t>
  </si>
  <si>
    <t>Os empreendedores desconhecem quais são as fontes de fontes de financiamento capazes de oportunizar o desenvolvimento do produto/serviço.</t>
  </si>
  <si>
    <t>Fontes de financiamento, capazes de oportunizar o desenvolvimento do produto/serviço são conhecidas, porém, projetos de inovação não foram apresentados.</t>
  </si>
  <si>
    <t>Fontes de financiamento, capazes de oportunizar o desenvolvimento do produto/serviço são conhecidas e projetos de inovação foram apresentados, porém, não foram aprovados.</t>
  </si>
  <si>
    <t>Fontes de financiamento, capazes de oportunizar o desenvolvimento do produto/serviço são conhecidas e projetos de inovação foram apresentados e aprovados.</t>
  </si>
  <si>
    <t>Não existem projeções de receitas e de custos para orientar os empreendedores na alavancagem do negócio.</t>
  </si>
  <si>
    <t>Existem projeções de receitas e de custos para orientar os empreendedores na alavancagem do negócio, porém, é resultado de um processo informal de definição.</t>
  </si>
  <si>
    <t>Existem projeções de receitas e de custos para orientar os empreendedores na alavancagem do negócio como base de um processo formal de definição.</t>
  </si>
  <si>
    <t xml:space="preserve">Projeções de receitas e de custos foram formalmente definidas. Além disso, ações específicas de alavancagem, com base nessa informações, foram ou estão sendo oportunizadas pelos empreendedores. </t>
  </si>
  <si>
    <t>Desconhecem estratégias, ações e metas capazes de oportunizar a alavancagem financeira do negócio.</t>
  </si>
  <si>
    <t>Conhecem, informalmente, estratégias, ações e metas capazes de oportunizar a alavancagem financeira.</t>
  </si>
  <si>
    <t>Conhecem es estratégias, ações e metas capazes de oportunizar a alavancagem financeira, considerando o exemplo prático vivenciado.</t>
  </si>
  <si>
    <t>Conhecem es estratégias, ações e metas capazes de oportunizar a alavancagem financeira, considerando os vários exemplos práticos vivenciados.</t>
  </si>
  <si>
    <t>2. Dimensionamento de mercado e preço do produto/serviço.</t>
  </si>
  <si>
    <t>9. Estratégias de internacionalização.</t>
  </si>
  <si>
    <t>10. Desempenho das vendas. [NÃO SE APLICA À MODALIDADE DE PRÉ-INCUBAÇÃO]</t>
  </si>
  <si>
    <t>11. Pós-Venda. [NÃO SE APLICA À MODALIDADE DE PRÉ-INCUBAÇÃO]</t>
  </si>
  <si>
    <t>12. Identidade visual. [NÃO SE APLICA À MODALIDADE DE PRÉ-INCUBAÇÃO]</t>
  </si>
  <si>
    <t>Não há nenhum tipo de segmentação de clientes.</t>
  </si>
  <si>
    <t>Os clientes não estão segmentados. A identificação de necessidades é feita de forma intuitiva, ou seja, com os insigths dos empreendedores.</t>
  </si>
  <si>
    <t>Os clientes são segmentados e as necessidades de cada segmento são identificadas informalmente por meio de algumas informações obtidas dos clientes.</t>
  </si>
  <si>
    <t>Os clientes são segmentados e as necessidades de cada segmento são identificadas formalmente por meio de informações obtidas dos principais grupos de clientes e do ambiente no qual estão inseridos.</t>
  </si>
  <si>
    <t>Não há dimensionamento do mercado. O preço do produto/serviço não está definido.</t>
  </si>
  <si>
    <t>Não há dimensionamento do mercado. O preço do produto/serviço é resultado de um processo informal de definição.</t>
  </si>
  <si>
    <t>Há dimensionamento do mercado. O preço é resultado de um processo formal de definição.</t>
  </si>
  <si>
    <t>Há dimensionamento do mercado. O preço é resultado de um processo formal de definição. Além disso, os empreendedores conhecem o potencial financeiro de receitas para cada segmentação de clientes.</t>
  </si>
  <si>
    <t>A proposta de valor do empreendimento e os produtos/serviços não são divulgados.</t>
  </si>
  <si>
    <t>A proposta de valor do empreendimento e os produtos/serviços são divulgados, porém, não consideramos diferentes canais no momento da divulgação.</t>
  </si>
  <si>
    <t>A proposta de valor do empreendimento e os produtos/serviços são divulgados. Além disso, consideramos diferentes canais no momento da divulgação.</t>
  </si>
  <si>
    <t>A proposta de valor do empreendimento e os produtos/serviços são divulgados. Consideramos diferentes canais no momento da divulgação. As especificidades de cada segmento de clientes são respeitadas, ou seja, a comunicação é segmentada.</t>
  </si>
  <si>
    <t>Não disponibilizamos canais para que os clientes apresentem reclamações.</t>
  </si>
  <si>
    <t>Disponibilizamos canais para que os clientes apresentem reclamações, porém, as reclamações recebidas não são registradas e, quando registradas, são tratadas ocasionalmente.</t>
  </si>
  <si>
    <t>As reclamações recebidas são registradas e tratadas regularmente.</t>
  </si>
  <si>
    <t>As reclamações recebidas são registradas e tratadas regularmente e contribuem para a melhoria da oferta dos produtos/serviços. Além disso, o cliente é informado da solução dada à sua reclamação.</t>
  </si>
  <si>
    <t>As informações obtidas, para cada segmentação de clientes, não são analisadas.</t>
  </si>
  <si>
    <t>As informações obtidas, para cada segmentação de clientes, são analisadas ocasionalmente.</t>
  </si>
  <si>
    <t>As informações obtidas, para cada segmentação de clientes, são analisadas e utilizadas regularmente.</t>
  </si>
  <si>
    <t>As informações obtidas, para cada segmentação de clientes, são analisadas e utilizadas regularmente. Além disso, possibilita intensificar a fidelização, captação de novos e o estabelecimento de relacionamentos efetivos.</t>
  </si>
  <si>
    <t>Não há cadastro de clientes.</t>
  </si>
  <si>
    <t>Há cadastro de clientes, porém, desatualizado.</t>
  </si>
  <si>
    <t>Há cadastro de clientes atualizado, porém, não segmentado.</t>
  </si>
  <si>
    <t>Há cadastro de clientes atualizado e segmentado.</t>
  </si>
  <si>
    <t xml:space="preserve">Ações de prospecção para identifcação de novas oportunidades de negócio não são realizadas. Além disso, os empreendedores não participam de eventos ou outras ações que oportunizam acesso a novos mercados. </t>
  </si>
  <si>
    <t xml:space="preserve">Poucas ações (&lt;=3 / ano) de prospecção são realizadas. Além disso, os empreendedores participam pouco de eventos ou outras ações que oportunizam acesso a novos mercados. </t>
  </si>
  <si>
    <t>Muitas ações (&lt;=6 / ano) de prospecção são realizadas. Além disso, os empreendedores participam muitas vezes de eventos ou outras ações que oportunizam acesso a novos mercados.</t>
  </si>
  <si>
    <t xml:space="preserve">Várias ações (&gt;=7 / ano) de prospecção são realizadas. Além disso, os empreendedores participam várias vezes de eventos ou outras ações que oportunizam acesso a novos mercados. </t>
  </si>
  <si>
    <t>Não são buscadas informações externas para conhecer a dinâmica do mercado.</t>
  </si>
  <si>
    <t>Eventualmente são buscadas informações externas para conhecer a dinâmica do mercado.</t>
  </si>
  <si>
    <t>Constantemente são buscadas informações externas para conhecer a dinâmica do mercado, porém, não oportunizam a identificação de novas oportunidades de inovação.</t>
  </si>
  <si>
    <t>Constantemente são buscadas informações externas para conhecer a dinâmica do mercado. Além disso, oportunizam a identificação de novas oportunidades de inovação.</t>
  </si>
  <si>
    <t>Nosso foco é o mercado interno. Não conhecemos as oportunidades externas de negócio e, por esse motivo, as estratégias de internacionalização não estão definidas.</t>
  </si>
  <si>
    <t>Nosso foco é o mercado interno. Conhecemos as oportunidades externas de negócio, porém, as estratégias de internacionalização não estão definidas.</t>
  </si>
  <si>
    <t>Nosso foco é o mercado interno. Conhecemos as oportunidades externas de negócio e, além disso, as estratégias de internacionalização estão sendo definidas, porém, informalmente.</t>
  </si>
  <si>
    <t>Nosso foco é o mercado interno e externo. Além disso, as estratégias de internacionalização estão sendo formalmente definidas.</t>
  </si>
  <si>
    <t>O desempenho das vendas de produtos/serviços não é acompanhado.</t>
  </si>
  <si>
    <t>O desempenho das vendas de produtos/serviços é acompanhado, porém, as metas não estão estabelecidas.</t>
  </si>
  <si>
    <t>O desempenho das vendas de produtos/serviços é acompanhado e metas de desempenho estão estabelecidas como parte de um processo informal de definição de metas.</t>
  </si>
  <si>
    <t>O desempenho das vendas de produtos/serviços é acompanhado e metas de desempenho estão estabelecidas como parte de um processo formal de definição de metas.</t>
  </si>
  <si>
    <t>Não existe pós venda.</t>
  </si>
  <si>
    <t>A  pós-venda é realizada, porém, de informalmente.</t>
  </si>
  <si>
    <t>A  pós-venda é realizada, porém, não considera os principais segmentos de clientes do empreendimento.</t>
  </si>
  <si>
    <t>A pós venda é realizada e considera os principais segmentos de clientes do empreendimento.</t>
  </si>
  <si>
    <t>A identidade visual do empreendimento não está definida.</t>
  </si>
  <si>
    <t>A identidade visual está definida, porém, precisa ser revista para considerar a proposta de valor e a estratégia de negócio.</t>
  </si>
  <si>
    <t>A identidade visual está definida e considera a proposta de valor e a estratégia de negócio.</t>
  </si>
  <si>
    <t>A identidade visual está definida e considera a proposta de valor e a estratégia de negócios. Além disso, respeita os diferentes segmentos de atuação e as especificidades dos canais de comunicação.</t>
  </si>
  <si>
    <t>8. Os potenciais fornecedores requeridos pelo negócio são conhecidos.</t>
  </si>
  <si>
    <t>9. Os principais fornecedores estão estabelecidos (vínculo formal) e, além disso, são avaliados.</t>
  </si>
  <si>
    <t>O empreendimento não está legalmente constituído. Além disso, as exigências legais aplicáveis não são conhecidas.</t>
  </si>
  <si>
    <t>O empreendimento está próximo de se tornar legalmente constituído. Além disso, algumas exigências legais aplicáveis são conhecidas, porém, não são mantidas atualizadas.</t>
  </si>
  <si>
    <t>O empreendimento está legalmente constituído. Além disso, as exigências legais aplicáveis são conhecidas, porém, não são mantidas atualizadas.</t>
  </si>
  <si>
    <t>O empreendimento está legalmente constituído. Além disso, as exigências legais aplicáveis são conhecidas e mantidas atualizadas.</t>
  </si>
  <si>
    <t>Os impactos negativos causados pelo empreendimento não são conhecidos e nem tratados.</t>
  </si>
  <si>
    <t>Os impactos negativos causados pelo empreendimento não são conhecidos, mas algumas ações são adotadas e podem evitar prejuízos relacionados no momento da operação.</t>
  </si>
  <si>
    <t>Os impactos negativos causados pelo empreendimento são conhecidos e alguns são tratados.</t>
  </si>
  <si>
    <t>Os impactos negativos causados pelo empreendimento são conhecidos e alguns são tratados de forma planejada por meio de ações adequadas.</t>
  </si>
  <si>
    <t>Os perigos e os riscos relacionados à saúde e a segurança no trabalho dos empreendedores não são identificados e não são tratados.</t>
  </si>
  <si>
    <t>Os perigos e os riscos relacionados à saúde e a segurança no trabalho dos empreendedores não são identificados, mas algumas ações são adotadas.</t>
  </si>
  <si>
    <t>Os perigos e os riscos relacionados à saúde e a segurança no trabalho dos empreendedores são identificadoso e alguns são tratados.</t>
  </si>
  <si>
    <t>Os perigos e os riscos relacionados à saúde e a segurança no trabalho dos empreendedores são identificados e alguns são tratados de forma planejada por meio de ações adequadas.</t>
  </si>
  <si>
    <t>A ideologia central do empreendimento não está definida.</t>
  </si>
  <si>
    <t>A ideologia central do empreendimento está definida, porém, a sua formulação foi feita de forma empírica (derivado da experiência comum dos empreendedores envolvidos).</t>
  </si>
  <si>
    <t>A ideologia central do empreendimento foi definida a partir de uma iniciativa formal que usou, por exemplo, uma análise do ambiente de negócio.</t>
  </si>
  <si>
    <t>A ideologia central do empreendimento está definida, sendo atualizada sempre que sugem novas informações sobre o ambiente de negócio.</t>
  </si>
  <si>
    <t>As principais diretrizes e os respectivos planos de ação estão definidas informalmente e com uso restrito de informações internas e externas.</t>
  </si>
  <si>
    <t>As principais diretrizes e os respectivos planos de ação estão definidas informalmente, porém, são consideradas informações internas e externas relacionadas ao negócio.</t>
  </si>
  <si>
    <t>As principais diretrizes e os respectivos planos estão definidas formalmente, por meio de método que considera a análise de informações internas e externas.</t>
  </si>
  <si>
    <t>Indicadores e metas para os planos de ação e para o empreendimento não estão definidos.</t>
  </si>
  <si>
    <t>Indicadores e metas para os planos de ação e para o empreendimento estão definidas informalmente</t>
  </si>
  <si>
    <t>Indicadores e metas para os planos de ação e para o empreendimento estão definidas informalmente, porém, as principais informações relacionadas ao negócio são consideradas.</t>
  </si>
  <si>
    <t>Indicadores e metas para os planos de ação e para o empreendimento estão definidas formalmente, por meio de método que considere as as principais diretrizes relacionadas ao negócio.</t>
  </si>
  <si>
    <t>A jornada do cliente e os processos que suportam essa jornada não estão padronizados e não são controlados.</t>
  </si>
  <si>
    <t>A jornada do cliente e os processos que suportam essa jornada são executados de forma padronizada, porém, os padrões e os instrumentos de controle não são documentados.</t>
  </si>
  <si>
    <t>A jornada do cliente e os processos que suportam essa jornada são executados de forma padronizada, com padrões e instrumentos de controle padronizados.</t>
  </si>
  <si>
    <t>A jornada do cliente e os processos que suportam essa jornada são executados de forma padronizada, com padrões documentados. Além disso, os processos foram concebidos no sentido de traduzir as necessidades dos clientes.</t>
  </si>
  <si>
    <t>Os potenciais fornecedores requeridos pelo negócio não são conhecidos.</t>
  </si>
</sst>
</file>

<file path=xl/styles.xml><?xml version="1.0" encoding="utf-8"?>
<styleSheet xmlns="http://schemas.openxmlformats.org/spreadsheetml/2006/main">
  <numFmts count="1">
    <numFmt numFmtId="164" formatCode="_(&quot;R$&quot;* #,##0.00_);_(&quot;R$&quot;* \(#,##0.00\);_(&quot;R$&quot;* &quot;-&quot;??_);_(@_)"/>
  </numFmts>
  <fonts count="20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8"/>
      <color indexed="8"/>
      <name val="Tahoma"/>
      <family val="2"/>
    </font>
    <font>
      <b/>
      <sz val="11"/>
      <color indexed="9"/>
      <name val="Calibri"/>
      <family val="2"/>
    </font>
    <font>
      <sz val="20"/>
      <color indexed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1"/>
      <color indexed="12"/>
      <name val="Calibri"/>
      <family val="2"/>
    </font>
    <font>
      <sz val="11"/>
      <color indexed="10"/>
      <name val="Calibri"/>
      <family val="2"/>
    </font>
    <font>
      <b/>
      <sz val="11"/>
      <color indexed="12"/>
      <name val="Calibri"/>
      <family val="2"/>
    </font>
    <font>
      <sz val="10"/>
      <color indexed="23"/>
      <name val="Calibri"/>
      <family val="2"/>
    </font>
    <font>
      <b/>
      <sz val="10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sz val="11"/>
      <name val="Calibri"/>
      <family val="2"/>
    </font>
    <font>
      <sz val="11"/>
      <color indexed="31"/>
      <name val="Calibri"/>
      <family val="2"/>
    </font>
    <font>
      <b/>
      <sz val="16"/>
      <color indexed="8"/>
      <name val="Calibri"/>
      <family val="2"/>
    </font>
    <font>
      <b/>
      <sz val="14"/>
      <color indexed="8"/>
      <name val="Calibri"/>
      <family val="2"/>
    </font>
    <font>
      <sz val="9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</borders>
  <cellStyleXfs count="3">
    <xf numFmtId="0" fontId="0" fillId="0" borderId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13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2" borderId="0" xfId="0" applyFill="1"/>
    <xf numFmtId="0" fontId="1" fillId="2" borderId="0" xfId="0" applyFont="1" applyFill="1" applyAlignment="1">
      <alignment horizontal="center" vertical="center" textRotation="90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textRotation="90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textRotation="90"/>
    </xf>
    <xf numFmtId="0" fontId="0" fillId="4" borderId="4" xfId="0" applyFill="1" applyBorder="1"/>
    <xf numFmtId="0" fontId="0" fillId="4" borderId="4" xfId="0" applyFill="1" applyBorder="1" applyAlignment="1">
      <alignment horizontal="center"/>
    </xf>
    <xf numFmtId="0" fontId="0" fillId="4" borderId="5" xfId="0" applyFill="1" applyBorder="1"/>
    <xf numFmtId="0" fontId="0" fillId="4" borderId="0" xfId="0" applyFill="1" applyBorder="1"/>
    <xf numFmtId="0" fontId="0" fillId="4" borderId="0" xfId="0" applyFill="1" applyBorder="1" applyAlignment="1">
      <alignment horizontal="center"/>
    </xf>
    <xf numFmtId="0" fontId="3" fillId="3" borderId="3" xfId="0" applyFont="1" applyFill="1" applyBorder="1" applyAlignment="1">
      <alignment horizontal="center" vertical="center" wrapText="1"/>
    </xf>
    <xf numFmtId="0" fontId="0" fillId="5" borderId="0" xfId="0" applyFill="1"/>
    <xf numFmtId="0" fontId="7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4" xfId="0" applyFont="1" applyFill="1" applyBorder="1"/>
    <xf numFmtId="0" fontId="7" fillId="4" borderId="5" xfId="0" applyFont="1" applyFill="1" applyBorder="1"/>
    <xf numFmtId="0" fontId="7" fillId="2" borderId="0" xfId="0" applyFont="1" applyFill="1"/>
    <xf numFmtId="0" fontId="0" fillId="6" borderId="4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7" fillId="6" borderId="0" xfId="0" applyFont="1" applyFill="1" applyBorder="1" applyAlignment="1">
      <alignment horizontal="center"/>
    </xf>
    <xf numFmtId="0" fontId="0" fillId="4" borderId="4" xfId="0" applyFont="1" applyFill="1" applyBorder="1"/>
    <xf numFmtId="0" fontId="0" fillId="4" borderId="4" xfId="0" applyFont="1" applyFill="1" applyBorder="1" applyAlignment="1">
      <alignment horizontal="center"/>
    </xf>
    <xf numFmtId="0" fontId="0" fillId="6" borderId="4" xfId="0" applyFont="1" applyFill="1" applyBorder="1" applyAlignment="1">
      <alignment horizontal="center"/>
    </xf>
    <xf numFmtId="0" fontId="0" fillId="2" borderId="0" xfId="0" applyFont="1" applyFill="1"/>
    <xf numFmtId="0" fontId="0" fillId="4" borderId="0" xfId="0" applyFont="1" applyFill="1" applyBorder="1"/>
    <xf numFmtId="0" fontId="0" fillId="4" borderId="0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0" fontId="8" fillId="4" borderId="0" xfId="0" applyFont="1" applyFill="1" applyBorder="1"/>
    <xf numFmtId="0" fontId="8" fillId="4" borderId="0" xfId="0" applyFont="1" applyFill="1" applyBorder="1" applyAlignment="1">
      <alignment horizontal="center"/>
    </xf>
    <xf numFmtId="0" fontId="8" fillId="6" borderId="0" xfId="0" applyFont="1" applyFill="1" applyBorder="1" applyAlignment="1">
      <alignment horizontal="center"/>
    </xf>
    <xf numFmtId="0" fontId="8" fillId="4" borderId="4" xfId="0" applyFont="1" applyFill="1" applyBorder="1"/>
    <xf numFmtId="0" fontId="8" fillId="4" borderId="5" xfId="0" applyFont="1" applyFill="1" applyBorder="1"/>
    <xf numFmtId="0" fontId="8" fillId="2" borderId="0" xfId="0" applyFont="1" applyFill="1"/>
    <xf numFmtId="0" fontId="0" fillId="4" borderId="6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4" borderId="0" xfId="0" applyNumberFormat="1" applyFill="1" applyBorder="1"/>
    <xf numFmtId="9" fontId="1" fillId="4" borderId="4" xfId="0" applyNumberFormat="1" applyFont="1" applyFill="1" applyBorder="1" applyAlignment="1">
      <alignment horizontal="center"/>
    </xf>
    <xf numFmtId="9" fontId="0" fillId="4" borderId="4" xfId="0" applyNumberFormat="1" applyFill="1" applyBorder="1" applyAlignment="1">
      <alignment horizontal="center"/>
    </xf>
    <xf numFmtId="9" fontId="0" fillId="4" borderId="0" xfId="0" applyNumberFormat="1" applyFill="1" applyBorder="1" applyAlignment="1">
      <alignment horizontal="center"/>
    </xf>
    <xf numFmtId="9" fontId="7" fillId="4" borderId="0" xfId="0" applyNumberFormat="1" applyFont="1" applyFill="1" applyBorder="1" applyAlignment="1">
      <alignment horizontal="center"/>
    </xf>
    <xf numFmtId="9" fontId="1" fillId="4" borderId="0" xfId="0" applyNumberFormat="1" applyFont="1" applyFill="1" applyBorder="1" applyAlignment="1">
      <alignment horizontal="center"/>
    </xf>
    <xf numFmtId="9" fontId="9" fillId="4" borderId="0" xfId="0" applyNumberFormat="1" applyFont="1" applyFill="1" applyBorder="1" applyAlignment="1">
      <alignment horizontal="center"/>
    </xf>
    <xf numFmtId="9" fontId="0" fillId="4" borderId="4" xfId="0" applyNumberFormat="1" applyFont="1" applyFill="1" applyBorder="1" applyAlignment="1">
      <alignment horizontal="center"/>
    </xf>
    <xf numFmtId="9" fontId="0" fillId="4" borderId="0" xfId="0" applyNumberFormat="1" applyFont="1" applyFill="1" applyBorder="1" applyAlignment="1">
      <alignment horizontal="center"/>
    </xf>
    <xf numFmtId="9" fontId="8" fillId="4" borderId="0" xfId="0" applyNumberFormat="1" applyFont="1" applyFill="1" applyBorder="1" applyAlignment="1">
      <alignment horizontal="center"/>
    </xf>
    <xf numFmtId="9" fontId="0" fillId="4" borderId="6" xfId="0" applyNumberFormat="1" applyFill="1" applyBorder="1" applyAlignment="1">
      <alignment horizontal="center"/>
    </xf>
    <xf numFmtId="9" fontId="0" fillId="7" borderId="6" xfId="0" applyNumberFormat="1" applyFill="1" applyBorder="1" applyAlignment="1">
      <alignment horizontal="center"/>
    </xf>
    <xf numFmtId="10" fontId="1" fillId="2" borderId="4" xfId="0" applyNumberFormat="1" applyFont="1" applyFill="1" applyBorder="1"/>
    <xf numFmtId="0" fontId="0" fillId="2" borderId="4" xfId="0" applyFill="1" applyBorder="1"/>
    <xf numFmtId="10" fontId="1" fillId="2" borderId="0" xfId="0" applyNumberFormat="1" applyFont="1" applyFill="1" applyBorder="1"/>
    <xf numFmtId="0" fontId="0" fillId="2" borderId="0" xfId="0" applyFill="1" applyBorder="1"/>
    <xf numFmtId="0" fontId="1" fillId="2" borderId="7" xfId="0" applyFont="1" applyFill="1" applyBorder="1"/>
    <xf numFmtId="10" fontId="1" fillId="2" borderId="8" xfId="0" applyNumberFormat="1" applyFont="1" applyFill="1" applyBorder="1"/>
    <xf numFmtId="0" fontId="0" fillId="2" borderId="8" xfId="0" applyFill="1" applyBorder="1"/>
    <xf numFmtId="0" fontId="1" fillId="2" borderId="0" xfId="0" applyFont="1" applyFill="1"/>
    <xf numFmtId="0" fontId="5" fillId="2" borderId="0" xfId="0" applyFont="1" applyFill="1"/>
    <xf numFmtId="9" fontId="5" fillId="2" borderId="0" xfId="0" applyNumberFormat="1" applyFont="1" applyFill="1"/>
    <xf numFmtId="0" fontId="15" fillId="2" borderId="0" xfId="0" applyFont="1" applyFill="1" applyBorder="1"/>
    <xf numFmtId="0" fontId="14" fillId="2" borderId="9" xfId="0" applyFont="1" applyFill="1" applyBorder="1" applyAlignment="1">
      <alignment vertical="center"/>
    </xf>
    <xf numFmtId="0" fontId="14" fillId="2" borderId="0" xfId="0" applyFont="1" applyFill="1" applyBorder="1" applyAlignment="1">
      <alignment vertical="center"/>
    </xf>
    <xf numFmtId="0" fontId="15" fillId="2" borderId="0" xfId="0" applyFont="1" applyFill="1"/>
    <xf numFmtId="0" fontId="13" fillId="2" borderId="0" xfId="0" applyFont="1" applyFill="1"/>
    <xf numFmtId="9" fontId="13" fillId="2" borderId="0" xfId="2" applyFont="1" applyFill="1"/>
    <xf numFmtId="0" fontId="0" fillId="8" borderId="0" xfId="0" applyFill="1"/>
    <xf numFmtId="0" fontId="15" fillId="8" borderId="0" xfId="0" applyFont="1" applyFill="1"/>
    <xf numFmtId="10" fontId="1" fillId="8" borderId="0" xfId="0" applyNumberFormat="1" applyFont="1" applyFill="1" applyBorder="1"/>
    <xf numFmtId="0" fontId="0" fillId="8" borderId="0" xfId="0" applyFill="1" applyBorder="1"/>
    <xf numFmtId="0" fontId="1" fillId="8" borderId="0" xfId="0" applyFont="1" applyFill="1" applyBorder="1"/>
    <xf numFmtId="0" fontId="16" fillId="8" borderId="0" xfId="0" applyFont="1" applyFill="1"/>
    <xf numFmtId="0" fontId="6" fillId="8" borderId="0" xfId="0" applyFont="1" applyFill="1"/>
    <xf numFmtId="0" fontId="1" fillId="8" borderId="0" xfId="0" applyFont="1" applyFill="1"/>
    <xf numFmtId="0" fontId="16" fillId="8" borderId="0" xfId="0" applyFont="1" applyFill="1" applyBorder="1"/>
    <xf numFmtId="10" fontId="11" fillId="2" borderId="10" xfId="0" applyNumberFormat="1" applyFont="1" applyFill="1" applyBorder="1"/>
    <xf numFmtId="10" fontId="11" fillId="2" borderId="9" xfId="0" applyNumberFormat="1" applyFont="1" applyFill="1" applyBorder="1"/>
    <xf numFmtId="0" fontId="11" fillId="2" borderId="9" xfId="0" applyFont="1" applyFill="1" applyBorder="1"/>
    <xf numFmtId="9" fontId="17" fillId="2" borderId="0" xfId="0" applyNumberFormat="1" applyFont="1" applyFill="1"/>
    <xf numFmtId="10" fontId="11" fillId="2" borderId="0" xfId="0" applyNumberFormat="1" applyFont="1" applyFill="1"/>
    <xf numFmtId="10" fontId="17" fillId="2" borderId="0" xfId="0" applyNumberFormat="1" applyFont="1" applyFill="1"/>
    <xf numFmtId="0" fontId="13" fillId="8" borderId="0" xfId="0" applyFont="1" applyFill="1"/>
    <xf numFmtId="9" fontId="13" fillId="8" borderId="0" xfId="2" applyFont="1" applyFill="1"/>
    <xf numFmtId="9" fontId="15" fillId="8" borderId="0" xfId="0" applyNumberFormat="1" applyFont="1" applyFill="1"/>
    <xf numFmtId="0" fontId="18" fillId="8" borderId="0" xfId="0" applyFont="1" applyFill="1"/>
    <xf numFmtId="0" fontId="14" fillId="2" borderId="9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164" fontId="14" fillId="2" borderId="6" xfId="1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left" vertical="center" wrapText="1"/>
    </xf>
    <xf numFmtId="2" fontId="14" fillId="2" borderId="11" xfId="1" applyNumberFormat="1" applyFont="1" applyFill="1" applyBorder="1" applyAlignment="1">
      <alignment horizontal="left" vertical="center"/>
    </xf>
    <xf numFmtId="2" fontId="14" fillId="2" borderId="4" xfId="1" applyNumberFormat="1" applyFont="1" applyFill="1" applyBorder="1" applyAlignment="1">
      <alignment horizontal="left" vertical="center"/>
    </xf>
    <xf numFmtId="0" fontId="15" fillId="8" borderId="0" xfId="0" applyFont="1" applyFill="1" applyBorder="1"/>
    <xf numFmtId="9" fontId="16" fillId="8" borderId="0" xfId="2" applyFont="1" applyFill="1"/>
    <xf numFmtId="9" fontId="13" fillId="2" borderId="12" xfId="2" applyFont="1" applyFill="1" applyBorder="1"/>
    <xf numFmtId="164" fontId="19" fillId="2" borderId="6" xfId="1" applyFont="1" applyFill="1" applyBorder="1" applyAlignment="1">
      <alignment horizontal="left" vertical="center"/>
    </xf>
    <xf numFmtId="9" fontId="19" fillId="2" borderId="6" xfId="2" applyFont="1" applyFill="1" applyBorder="1" applyAlignment="1">
      <alignment horizontal="left" vertical="center"/>
    </xf>
    <xf numFmtId="2" fontId="19" fillId="2" borderId="6" xfId="1" applyNumberFormat="1" applyFont="1" applyFill="1" applyBorder="1" applyAlignment="1">
      <alignment horizontal="left" vertical="center"/>
    </xf>
    <xf numFmtId="0" fontId="8" fillId="8" borderId="0" xfId="0" applyFont="1" applyFill="1"/>
    <xf numFmtId="0" fontId="13" fillId="2" borderId="5" xfId="0" applyFont="1" applyFill="1" applyBorder="1"/>
    <xf numFmtId="0" fontId="13" fillId="2" borderId="12" xfId="0" applyFont="1" applyFill="1" applyBorder="1"/>
    <xf numFmtId="0" fontId="13" fillId="2" borderId="13" xfId="0" applyFont="1" applyFill="1" applyBorder="1"/>
    <xf numFmtId="0" fontId="13" fillId="8" borderId="0" xfId="0" applyFont="1" applyFill="1" applyBorder="1"/>
    <xf numFmtId="0" fontId="6" fillId="5" borderId="0" xfId="0" applyFont="1" applyFill="1" applyBorder="1" applyAlignment="1">
      <alignment horizontal="justify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10" fillId="2" borderId="14" xfId="0" applyFont="1" applyFill="1" applyBorder="1" applyAlignment="1">
      <alignment horizontal="left" vertical="top"/>
    </xf>
    <xf numFmtId="0" fontId="10" fillId="2" borderId="15" xfId="0" applyFont="1" applyFill="1" applyBorder="1" applyAlignment="1">
      <alignment horizontal="left" vertical="top"/>
    </xf>
    <xf numFmtId="0" fontId="10" fillId="2" borderId="16" xfId="0" applyFont="1" applyFill="1" applyBorder="1" applyAlignment="1">
      <alignment horizontal="left" vertical="top"/>
    </xf>
    <xf numFmtId="0" fontId="10" fillId="2" borderId="17" xfId="0" applyFont="1" applyFill="1" applyBorder="1" applyAlignment="1">
      <alignment horizontal="left" vertical="top"/>
    </xf>
    <xf numFmtId="0" fontId="10" fillId="2" borderId="0" xfId="0" applyFont="1" applyFill="1" applyBorder="1" applyAlignment="1">
      <alignment horizontal="left" vertical="top"/>
    </xf>
    <xf numFmtId="0" fontId="10" fillId="2" borderId="18" xfId="0" applyFont="1" applyFill="1" applyBorder="1" applyAlignment="1">
      <alignment horizontal="left" vertical="top"/>
    </xf>
    <xf numFmtId="0" fontId="10" fillId="2" borderId="19" xfId="0" applyFont="1" applyFill="1" applyBorder="1" applyAlignment="1">
      <alignment horizontal="left" vertical="top"/>
    </xf>
    <xf numFmtId="0" fontId="10" fillId="2" borderId="20" xfId="0" applyFont="1" applyFill="1" applyBorder="1" applyAlignment="1">
      <alignment horizontal="left" vertical="top"/>
    </xf>
    <xf numFmtId="0" fontId="10" fillId="2" borderId="21" xfId="0" applyFont="1" applyFill="1" applyBorder="1" applyAlignment="1">
      <alignment horizontal="left" vertical="top"/>
    </xf>
    <xf numFmtId="0" fontId="10" fillId="2" borderId="14" xfId="0" applyFont="1" applyFill="1" applyBorder="1" applyAlignment="1">
      <alignment horizontal="left" vertical="top" wrapText="1"/>
    </xf>
    <xf numFmtId="0" fontId="10" fillId="2" borderId="15" xfId="0" applyFont="1" applyFill="1" applyBorder="1" applyAlignment="1">
      <alignment horizontal="left" vertical="top" wrapText="1"/>
    </xf>
    <xf numFmtId="0" fontId="10" fillId="2" borderId="16" xfId="0" applyFont="1" applyFill="1" applyBorder="1" applyAlignment="1">
      <alignment horizontal="left" vertical="top" wrapText="1"/>
    </xf>
    <xf numFmtId="0" fontId="10" fillId="2" borderId="17" xfId="0" applyFont="1" applyFill="1" applyBorder="1" applyAlignment="1">
      <alignment horizontal="left" vertical="top" wrapText="1"/>
    </xf>
    <xf numFmtId="0" fontId="10" fillId="2" borderId="0" xfId="0" applyFont="1" applyFill="1" applyBorder="1" applyAlignment="1">
      <alignment horizontal="left" vertical="top" wrapText="1"/>
    </xf>
    <xf numFmtId="0" fontId="10" fillId="2" borderId="18" xfId="0" applyFont="1" applyFill="1" applyBorder="1" applyAlignment="1">
      <alignment horizontal="left" vertical="top" wrapText="1"/>
    </xf>
    <xf numFmtId="0" fontId="10" fillId="2" borderId="19" xfId="0" applyFont="1" applyFill="1" applyBorder="1" applyAlignment="1">
      <alignment horizontal="left" vertical="top" wrapText="1"/>
    </xf>
    <xf numFmtId="0" fontId="10" fillId="2" borderId="20" xfId="0" applyFont="1" applyFill="1" applyBorder="1" applyAlignment="1">
      <alignment horizontal="left" vertical="top" wrapText="1"/>
    </xf>
    <xf numFmtId="0" fontId="10" fillId="2" borderId="21" xfId="0" applyFont="1" applyFill="1" applyBorder="1" applyAlignment="1">
      <alignment horizontal="left" vertical="top" wrapText="1"/>
    </xf>
    <xf numFmtId="0" fontId="0" fillId="4" borderId="9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left" vertical="center" wrapText="1"/>
    </xf>
    <xf numFmtId="0" fontId="14" fillId="2" borderId="0" xfId="0" applyFont="1" applyFill="1" applyBorder="1" applyAlignment="1">
      <alignment horizontal="left" vertical="center" wrapText="1"/>
    </xf>
    <xf numFmtId="0" fontId="14" fillId="2" borderId="9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style val="7"/>
  <c:chart>
    <c:title>
      <c:tx>
        <c:rich>
          <a:bodyPr/>
          <a:lstStyle/>
          <a:p>
            <a:pPr>
              <a:defRPr sz="2000"/>
            </a:pPr>
            <a:r>
              <a:rPr lang="pt-BR" sz="2000"/>
              <a:t>DIAGNÓSTICO DE MATURIDADE DOS EMPREENDIMENTOS  VINCULADOS AO PROIN/UEG</a:t>
            </a:r>
          </a:p>
          <a:p>
            <a:pPr>
              <a:defRPr sz="2000"/>
            </a:pPr>
            <a:r>
              <a:rPr lang="pt-BR" sz="2000"/>
              <a:t>P E R F I L    </a:t>
            </a:r>
            <a:r>
              <a:rPr lang="pt-BR" sz="2000" baseline="0"/>
              <a:t>E M P R E E N D E D O R</a:t>
            </a:r>
            <a:endParaRPr lang="pt-BR" sz="2000"/>
          </a:p>
        </c:rich>
      </c:tx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9857691734814296"/>
          <c:y val="0.14650870351667919"/>
          <c:w val="0.361278069991253"/>
          <c:h val="0.71729983744871251"/>
        </c:manualLayout>
      </c:layout>
      <c:radarChart>
        <c:radarStyle val="filled"/>
        <c:ser>
          <c:idx val="4"/>
          <c:order val="0"/>
          <c:tx>
            <c:strRef>
              <c:f>Consolida_PE!$G$1</c:f>
              <c:strCache>
                <c:ptCount val="1"/>
                <c:pt idx="0">
                  <c:v>Otimizado</c:v>
                </c:pt>
              </c:strCache>
            </c:strRef>
          </c:tx>
          <c:cat>
            <c:strRef>
              <c:f>Consolida_PE!$B$3:$B$32</c:f>
              <c:strCache>
                <c:ptCount val="30"/>
                <c:pt idx="0">
                  <c:v>1. Quando desconheço algo, não me importo em buscar informações necessárias para o entendimento do negócio.</c:v>
                </c:pt>
                <c:pt idx="1">
                  <c:v>2. As pessoas concordam comigo baseadas em meus argumentos ou estratégias que adoto.</c:v>
                </c:pt>
                <c:pt idx="2">
                  <c:v>3. Escolho situações em que posso controlar ao máximo os resultados finais, considerando as possibilidades de êxito ou fracasso antes de agir.</c:v>
                </c:pt>
                <c:pt idx="3">
                  <c:v>4. Diante as necessidades do mercado, implanto inovações em meus produtos/serviços ofertados pelo empreendimento na minha responsabilidade, ou amplio área geográfica de atuação do empreendimento.</c:v>
                </c:pt>
                <c:pt idx="4">
                  <c:v>5. Reconheço minha responsabilidade nas falhas e eventuais prejuízos financeiros do empreendimento.</c:v>
                </c:pt>
                <c:pt idx="5">
                  <c:v>6. Acredito que posso ser bem sucedido em qualquer atividade que me proponho executar, mesmo sendo algo difícil ou desafiador.</c:v>
                </c:pt>
                <c:pt idx="6">
                  <c:v>7. Meu rendimento no trabalho é bastante eficaz, pois faço as coisas de acordo com o que foi estabelecido, dando ênfase à otimização do tempo.</c:v>
                </c:pt>
                <c:pt idx="7">
                  <c:v>8. Para mim, é mais importante a minha opinião do que a opinião de outras pessoas sobre o que faço e a maneira como eu faço.</c:v>
                </c:pt>
                <c:pt idx="8">
                  <c:v>9. Executo minhas atividades bem como as atividades dos funcionários no dia a dia do empreendimento.</c:v>
                </c:pt>
                <c:pt idx="9">
                  <c:v>10. Adoto, como parâmetro nas negociações, o ditado “quem não arrisca, não petisca”.</c:v>
                </c:pt>
                <c:pt idx="10">
                  <c:v>11. Busco toda e qualquer informação disponível no mercado para utilizar no empreendimento.</c:v>
                </c:pt>
                <c:pt idx="11">
                  <c:v>12. Sei, de forma clara, o que quero alcançar no horizonte de médio e longo prazos e estabeleço parâmetros que permitam medir e avaliar o meu desempenho.</c:v>
                </c:pt>
                <c:pt idx="12">
                  <c:v>13. Faço as coisas preocupando-me com meus clientes, pois eles sempre têm razão e estão acima de qualquer coisa.</c:v>
                </c:pt>
                <c:pt idx="13">
                  <c:v>14. Defino, a cada dia, o percentual de lucro que quero obter com o empreendimento.</c:v>
                </c:pt>
                <c:pt idx="14">
                  <c:v>15. Quando tenho um projeto de grande porte, divido-o em tarefas mais simples, com prazos estabelecidos antecipadamente.</c:v>
                </c:pt>
                <c:pt idx="15">
                  <c:v>16. Mesmo que eu já esteja obtendo bons resultados no empreendimento, encontro formas de melhorar o que faço (agilidade, custos, qualidade).</c:v>
                </c:pt>
                <c:pt idx="16">
                  <c:v>17. Confio em minha capacidade de tomar decisões e solucionar problemas desafiantes que encontro na rotina do empreendimento.</c:v>
                </c:pt>
                <c:pt idx="17">
                  <c:v>18. Na execução das atividades, minha intuição e criatividade são suficientes para decidir como fazer. Organização e controle são aspectos secundários.</c:v>
                </c:pt>
                <c:pt idx="18">
                  <c:v>19. Identifico pessoas influentes e solicito apoio delas para alcançar minhas metas, pois somente assim consigo obter resultados positivos.</c:v>
                </c:pt>
                <c:pt idx="19">
                  <c:v>20. Insisto várias vezes para conseguir o que pretendo.</c:v>
                </c:pt>
                <c:pt idx="20">
                  <c:v>21. Aproveito, sem restrições, todas as oportunidades que surgem no mercado, pois elas trazem retorno financeiro.</c:v>
                </c:pt>
                <c:pt idx="21">
                  <c:v>22. Com objetivos comerciais, envio mensagens / brindes aos clientes em datas especiais.</c:v>
                </c:pt>
                <c:pt idx="22">
                  <c:v>23. Faço controles financeiros por meio de registros e utilizo esses dados para subsidiar as minhas decisões.</c:v>
                </c:pt>
                <c:pt idx="23">
                  <c:v>24. Quando encontro dificuldades na execução de uma atividade, permito-me aguardar um tempo até que elas se resolvam.</c:v>
                </c:pt>
                <c:pt idx="24">
                  <c:v>25. Quando necessário, trabalho muito e com afinco, para completar uma tarefa ou alcançar um objetivo.</c:v>
                </c:pt>
                <c:pt idx="25">
                  <c:v>26. Faço coisas que, na opinião dos outros, são arriscadas.</c:v>
                </c:pt>
                <c:pt idx="26">
                  <c:v>27. Minhas ações diárias são fortemente influenciadas por meus objetivos de vida no médio e longo prazos.</c:v>
                </c:pt>
                <c:pt idx="27">
                  <c:v>28. Visito feiras e participo de eventos e cursos correlatos ao meu empreendimento para conhecer novos produtos, serviços e fornecedores. </c:v>
                </c:pt>
                <c:pt idx="28">
                  <c:v>29. Encontro oportunidades de novos negócios quando identifico necessidades ou diagnostico problemas reais.</c:v>
                </c:pt>
                <c:pt idx="29">
                  <c:v>30. Realizaria vendas para clientes, ainda que não tenha lucro imediato, tendo em vista, futuras possibilidades de outros negócios com eles.</c:v>
                </c:pt>
              </c:strCache>
            </c:strRef>
          </c:cat>
          <c:val>
            <c:numRef>
              <c:f>Consolida_PE!$G$3:$G$32</c:f>
              <c:numCache>
                <c:formatCode>0%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</c:ser>
        <c:ser>
          <c:idx val="0"/>
          <c:order val="1"/>
          <c:tx>
            <c:strRef>
              <c:f>Consolida_PE!$F$1</c:f>
              <c:strCache>
                <c:ptCount val="1"/>
                <c:pt idx="0">
                  <c:v>Levemente Otimizado</c:v>
                </c:pt>
              </c:strCache>
            </c:strRef>
          </c:tx>
          <c:cat>
            <c:strRef>
              <c:f>Consolida_PE!$B$3:$B$32</c:f>
              <c:strCache>
                <c:ptCount val="30"/>
                <c:pt idx="0">
                  <c:v>1. Quando desconheço algo, não me importo em buscar informações necessárias para o entendimento do negócio.</c:v>
                </c:pt>
                <c:pt idx="1">
                  <c:v>2. As pessoas concordam comigo baseadas em meus argumentos ou estratégias que adoto.</c:v>
                </c:pt>
                <c:pt idx="2">
                  <c:v>3. Escolho situações em que posso controlar ao máximo os resultados finais, considerando as possibilidades de êxito ou fracasso antes de agir.</c:v>
                </c:pt>
                <c:pt idx="3">
                  <c:v>4. Diante as necessidades do mercado, implanto inovações em meus produtos/serviços ofertados pelo empreendimento na minha responsabilidade, ou amplio área geográfica de atuação do empreendimento.</c:v>
                </c:pt>
                <c:pt idx="4">
                  <c:v>5. Reconheço minha responsabilidade nas falhas e eventuais prejuízos financeiros do empreendimento.</c:v>
                </c:pt>
                <c:pt idx="5">
                  <c:v>6. Acredito que posso ser bem sucedido em qualquer atividade que me proponho executar, mesmo sendo algo difícil ou desafiador.</c:v>
                </c:pt>
                <c:pt idx="6">
                  <c:v>7. Meu rendimento no trabalho é bastante eficaz, pois faço as coisas de acordo com o que foi estabelecido, dando ênfase à otimização do tempo.</c:v>
                </c:pt>
                <c:pt idx="7">
                  <c:v>8. Para mim, é mais importante a minha opinião do que a opinião de outras pessoas sobre o que faço e a maneira como eu faço.</c:v>
                </c:pt>
                <c:pt idx="8">
                  <c:v>9. Executo minhas atividades bem como as atividades dos funcionários no dia a dia do empreendimento.</c:v>
                </c:pt>
                <c:pt idx="9">
                  <c:v>10. Adoto, como parâmetro nas negociações, o ditado “quem não arrisca, não petisca”.</c:v>
                </c:pt>
                <c:pt idx="10">
                  <c:v>11. Busco toda e qualquer informação disponível no mercado para utilizar no empreendimento.</c:v>
                </c:pt>
                <c:pt idx="11">
                  <c:v>12. Sei, de forma clara, o que quero alcançar no horizonte de médio e longo prazos e estabeleço parâmetros que permitam medir e avaliar o meu desempenho.</c:v>
                </c:pt>
                <c:pt idx="12">
                  <c:v>13. Faço as coisas preocupando-me com meus clientes, pois eles sempre têm razão e estão acima de qualquer coisa.</c:v>
                </c:pt>
                <c:pt idx="13">
                  <c:v>14. Defino, a cada dia, o percentual de lucro que quero obter com o empreendimento.</c:v>
                </c:pt>
                <c:pt idx="14">
                  <c:v>15. Quando tenho um projeto de grande porte, divido-o em tarefas mais simples, com prazos estabelecidos antecipadamente.</c:v>
                </c:pt>
                <c:pt idx="15">
                  <c:v>16. Mesmo que eu já esteja obtendo bons resultados no empreendimento, encontro formas de melhorar o que faço (agilidade, custos, qualidade).</c:v>
                </c:pt>
                <c:pt idx="16">
                  <c:v>17. Confio em minha capacidade de tomar decisões e solucionar problemas desafiantes que encontro na rotina do empreendimento.</c:v>
                </c:pt>
                <c:pt idx="17">
                  <c:v>18. Na execução das atividades, minha intuição e criatividade são suficientes para decidir como fazer. Organização e controle são aspectos secundários.</c:v>
                </c:pt>
                <c:pt idx="18">
                  <c:v>19. Identifico pessoas influentes e solicito apoio delas para alcançar minhas metas, pois somente assim consigo obter resultados positivos.</c:v>
                </c:pt>
                <c:pt idx="19">
                  <c:v>20. Insisto várias vezes para conseguir o que pretendo.</c:v>
                </c:pt>
                <c:pt idx="20">
                  <c:v>21. Aproveito, sem restrições, todas as oportunidades que surgem no mercado, pois elas trazem retorno financeiro.</c:v>
                </c:pt>
                <c:pt idx="21">
                  <c:v>22. Com objetivos comerciais, envio mensagens / brindes aos clientes em datas especiais.</c:v>
                </c:pt>
                <c:pt idx="22">
                  <c:v>23. Faço controles financeiros por meio de registros e utilizo esses dados para subsidiar as minhas decisões.</c:v>
                </c:pt>
                <c:pt idx="23">
                  <c:v>24. Quando encontro dificuldades na execução de uma atividade, permito-me aguardar um tempo até que elas se resolvam.</c:v>
                </c:pt>
                <c:pt idx="24">
                  <c:v>25. Quando necessário, trabalho muito e com afinco, para completar uma tarefa ou alcançar um objetivo.</c:v>
                </c:pt>
                <c:pt idx="25">
                  <c:v>26. Faço coisas que, na opinião dos outros, são arriscadas.</c:v>
                </c:pt>
                <c:pt idx="26">
                  <c:v>27. Minhas ações diárias são fortemente influenciadas por meus objetivos de vida no médio e longo prazos.</c:v>
                </c:pt>
                <c:pt idx="27">
                  <c:v>28. Visito feiras e participo de eventos e cursos correlatos ao meu empreendimento para conhecer novos produtos, serviços e fornecedores. </c:v>
                </c:pt>
                <c:pt idx="28">
                  <c:v>29. Encontro oportunidades de novos negócios quando identifico necessidades ou diagnostico problemas reais.</c:v>
                </c:pt>
                <c:pt idx="29">
                  <c:v>30. Realizaria vendas para clientes, ainda que não tenha lucro imediato, tendo em vista, futuras possibilidades de outros negócios com eles.</c:v>
                </c:pt>
              </c:strCache>
            </c:strRef>
          </c:cat>
          <c:val>
            <c:numRef>
              <c:f>Consolida_PE!$F$3:$F$32</c:f>
              <c:numCache>
                <c:formatCode>0%</c:formatCode>
                <c:ptCount val="30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3">
                  <c:v>0.8</c:v>
                </c:pt>
                <c:pt idx="24">
                  <c:v>0.8</c:v>
                </c:pt>
                <c:pt idx="25">
                  <c:v>0.8</c:v>
                </c:pt>
                <c:pt idx="26">
                  <c:v>0.8</c:v>
                </c:pt>
                <c:pt idx="27">
                  <c:v>0.8</c:v>
                </c:pt>
                <c:pt idx="28">
                  <c:v>0.8</c:v>
                </c:pt>
                <c:pt idx="29">
                  <c:v>0.8</c:v>
                </c:pt>
              </c:numCache>
            </c:numRef>
          </c:val>
        </c:ser>
        <c:ser>
          <c:idx val="1"/>
          <c:order val="2"/>
          <c:tx>
            <c:strRef>
              <c:f>Consolida_PE!$E$1</c:f>
              <c:strCache>
                <c:ptCount val="1"/>
                <c:pt idx="0">
                  <c:v>Moderado</c:v>
                </c:pt>
              </c:strCache>
            </c:strRef>
          </c:tx>
          <c:cat>
            <c:strRef>
              <c:f>Consolida_PE!$B$3:$B$32</c:f>
              <c:strCache>
                <c:ptCount val="30"/>
                <c:pt idx="0">
                  <c:v>1. Quando desconheço algo, não me importo em buscar informações necessárias para o entendimento do negócio.</c:v>
                </c:pt>
                <c:pt idx="1">
                  <c:v>2. As pessoas concordam comigo baseadas em meus argumentos ou estratégias que adoto.</c:v>
                </c:pt>
                <c:pt idx="2">
                  <c:v>3. Escolho situações em que posso controlar ao máximo os resultados finais, considerando as possibilidades de êxito ou fracasso antes de agir.</c:v>
                </c:pt>
                <c:pt idx="3">
                  <c:v>4. Diante as necessidades do mercado, implanto inovações em meus produtos/serviços ofertados pelo empreendimento na minha responsabilidade, ou amplio área geográfica de atuação do empreendimento.</c:v>
                </c:pt>
                <c:pt idx="4">
                  <c:v>5. Reconheço minha responsabilidade nas falhas e eventuais prejuízos financeiros do empreendimento.</c:v>
                </c:pt>
                <c:pt idx="5">
                  <c:v>6. Acredito que posso ser bem sucedido em qualquer atividade que me proponho executar, mesmo sendo algo difícil ou desafiador.</c:v>
                </c:pt>
                <c:pt idx="6">
                  <c:v>7. Meu rendimento no trabalho é bastante eficaz, pois faço as coisas de acordo com o que foi estabelecido, dando ênfase à otimização do tempo.</c:v>
                </c:pt>
                <c:pt idx="7">
                  <c:v>8. Para mim, é mais importante a minha opinião do que a opinião de outras pessoas sobre o que faço e a maneira como eu faço.</c:v>
                </c:pt>
                <c:pt idx="8">
                  <c:v>9. Executo minhas atividades bem como as atividades dos funcionários no dia a dia do empreendimento.</c:v>
                </c:pt>
                <c:pt idx="9">
                  <c:v>10. Adoto, como parâmetro nas negociações, o ditado “quem não arrisca, não petisca”.</c:v>
                </c:pt>
                <c:pt idx="10">
                  <c:v>11. Busco toda e qualquer informação disponível no mercado para utilizar no empreendimento.</c:v>
                </c:pt>
                <c:pt idx="11">
                  <c:v>12. Sei, de forma clara, o que quero alcançar no horizonte de médio e longo prazos e estabeleço parâmetros que permitam medir e avaliar o meu desempenho.</c:v>
                </c:pt>
                <c:pt idx="12">
                  <c:v>13. Faço as coisas preocupando-me com meus clientes, pois eles sempre têm razão e estão acima de qualquer coisa.</c:v>
                </c:pt>
                <c:pt idx="13">
                  <c:v>14. Defino, a cada dia, o percentual de lucro que quero obter com o empreendimento.</c:v>
                </c:pt>
                <c:pt idx="14">
                  <c:v>15. Quando tenho um projeto de grande porte, divido-o em tarefas mais simples, com prazos estabelecidos antecipadamente.</c:v>
                </c:pt>
                <c:pt idx="15">
                  <c:v>16. Mesmo que eu já esteja obtendo bons resultados no empreendimento, encontro formas de melhorar o que faço (agilidade, custos, qualidade).</c:v>
                </c:pt>
                <c:pt idx="16">
                  <c:v>17. Confio em minha capacidade de tomar decisões e solucionar problemas desafiantes que encontro na rotina do empreendimento.</c:v>
                </c:pt>
                <c:pt idx="17">
                  <c:v>18. Na execução das atividades, minha intuição e criatividade são suficientes para decidir como fazer. Organização e controle são aspectos secundários.</c:v>
                </c:pt>
                <c:pt idx="18">
                  <c:v>19. Identifico pessoas influentes e solicito apoio delas para alcançar minhas metas, pois somente assim consigo obter resultados positivos.</c:v>
                </c:pt>
                <c:pt idx="19">
                  <c:v>20. Insisto várias vezes para conseguir o que pretendo.</c:v>
                </c:pt>
                <c:pt idx="20">
                  <c:v>21. Aproveito, sem restrições, todas as oportunidades que surgem no mercado, pois elas trazem retorno financeiro.</c:v>
                </c:pt>
                <c:pt idx="21">
                  <c:v>22. Com objetivos comerciais, envio mensagens / brindes aos clientes em datas especiais.</c:v>
                </c:pt>
                <c:pt idx="22">
                  <c:v>23. Faço controles financeiros por meio de registros e utilizo esses dados para subsidiar as minhas decisões.</c:v>
                </c:pt>
                <c:pt idx="23">
                  <c:v>24. Quando encontro dificuldades na execução de uma atividade, permito-me aguardar um tempo até que elas se resolvam.</c:v>
                </c:pt>
                <c:pt idx="24">
                  <c:v>25. Quando necessário, trabalho muito e com afinco, para completar uma tarefa ou alcançar um objetivo.</c:v>
                </c:pt>
                <c:pt idx="25">
                  <c:v>26. Faço coisas que, na opinião dos outros, são arriscadas.</c:v>
                </c:pt>
                <c:pt idx="26">
                  <c:v>27. Minhas ações diárias são fortemente influenciadas por meus objetivos de vida no médio e longo prazos.</c:v>
                </c:pt>
                <c:pt idx="27">
                  <c:v>28. Visito feiras e participo de eventos e cursos correlatos ao meu empreendimento para conhecer novos produtos, serviços e fornecedores. </c:v>
                </c:pt>
                <c:pt idx="28">
                  <c:v>29. Encontro oportunidades de novos negócios quando identifico necessidades ou diagnostico problemas reais.</c:v>
                </c:pt>
                <c:pt idx="29">
                  <c:v>30. Realizaria vendas para clientes, ainda que não tenha lucro imediato, tendo em vista, futuras possibilidades de outros negócios com eles.</c:v>
                </c:pt>
              </c:strCache>
            </c:strRef>
          </c:cat>
          <c:val>
            <c:numRef>
              <c:f>Consolida_PE!$E$3:$E$32</c:f>
              <c:numCache>
                <c:formatCode>0%</c:formatCode>
                <c:ptCount val="30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</c:numCache>
            </c:numRef>
          </c:val>
        </c:ser>
        <c:ser>
          <c:idx val="2"/>
          <c:order val="3"/>
          <c:tx>
            <c:strRef>
              <c:f>Consolida_PE!$D$1</c:f>
              <c:strCache>
                <c:ptCount val="1"/>
                <c:pt idx="0">
                  <c:v>Levemente Inicial</c:v>
                </c:pt>
              </c:strCache>
            </c:strRef>
          </c:tx>
          <c:cat>
            <c:strRef>
              <c:f>Consolida_PE!$B$3:$B$32</c:f>
              <c:strCache>
                <c:ptCount val="30"/>
                <c:pt idx="0">
                  <c:v>1. Quando desconheço algo, não me importo em buscar informações necessárias para o entendimento do negócio.</c:v>
                </c:pt>
                <c:pt idx="1">
                  <c:v>2. As pessoas concordam comigo baseadas em meus argumentos ou estratégias que adoto.</c:v>
                </c:pt>
                <c:pt idx="2">
                  <c:v>3. Escolho situações em que posso controlar ao máximo os resultados finais, considerando as possibilidades de êxito ou fracasso antes de agir.</c:v>
                </c:pt>
                <c:pt idx="3">
                  <c:v>4. Diante as necessidades do mercado, implanto inovações em meus produtos/serviços ofertados pelo empreendimento na minha responsabilidade, ou amplio área geográfica de atuação do empreendimento.</c:v>
                </c:pt>
                <c:pt idx="4">
                  <c:v>5. Reconheço minha responsabilidade nas falhas e eventuais prejuízos financeiros do empreendimento.</c:v>
                </c:pt>
                <c:pt idx="5">
                  <c:v>6. Acredito que posso ser bem sucedido em qualquer atividade que me proponho executar, mesmo sendo algo difícil ou desafiador.</c:v>
                </c:pt>
                <c:pt idx="6">
                  <c:v>7. Meu rendimento no trabalho é bastante eficaz, pois faço as coisas de acordo com o que foi estabelecido, dando ênfase à otimização do tempo.</c:v>
                </c:pt>
                <c:pt idx="7">
                  <c:v>8. Para mim, é mais importante a minha opinião do que a opinião de outras pessoas sobre o que faço e a maneira como eu faço.</c:v>
                </c:pt>
                <c:pt idx="8">
                  <c:v>9. Executo minhas atividades bem como as atividades dos funcionários no dia a dia do empreendimento.</c:v>
                </c:pt>
                <c:pt idx="9">
                  <c:v>10. Adoto, como parâmetro nas negociações, o ditado “quem não arrisca, não petisca”.</c:v>
                </c:pt>
                <c:pt idx="10">
                  <c:v>11. Busco toda e qualquer informação disponível no mercado para utilizar no empreendimento.</c:v>
                </c:pt>
                <c:pt idx="11">
                  <c:v>12. Sei, de forma clara, o que quero alcançar no horizonte de médio e longo prazos e estabeleço parâmetros que permitam medir e avaliar o meu desempenho.</c:v>
                </c:pt>
                <c:pt idx="12">
                  <c:v>13. Faço as coisas preocupando-me com meus clientes, pois eles sempre têm razão e estão acima de qualquer coisa.</c:v>
                </c:pt>
                <c:pt idx="13">
                  <c:v>14. Defino, a cada dia, o percentual de lucro que quero obter com o empreendimento.</c:v>
                </c:pt>
                <c:pt idx="14">
                  <c:v>15. Quando tenho um projeto de grande porte, divido-o em tarefas mais simples, com prazos estabelecidos antecipadamente.</c:v>
                </c:pt>
                <c:pt idx="15">
                  <c:v>16. Mesmo que eu já esteja obtendo bons resultados no empreendimento, encontro formas de melhorar o que faço (agilidade, custos, qualidade).</c:v>
                </c:pt>
                <c:pt idx="16">
                  <c:v>17. Confio em minha capacidade de tomar decisões e solucionar problemas desafiantes que encontro na rotina do empreendimento.</c:v>
                </c:pt>
                <c:pt idx="17">
                  <c:v>18. Na execução das atividades, minha intuição e criatividade são suficientes para decidir como fazer. Organização e controle são aspectos secundários.</c:v>
                </c:pt>
                <c:pt idx="18">
                  <c:v>19. Identifico pessoas influentes e solicito apoio delas para alcançar minhas metas, pois somente assim consigo obter resultados positivos.</c:v>
                </c:pt>
                <c:pt idx="19">
                  <c:v>20. Insisto várias vezes para conseguir o que pretendo.</c:v>
                </c:pt>
                <c:pt idx="20">
                  <c:v>21. Aproveito, sem restrições, todas as oportunidades que surgem no mercado, pois elas trazem retorno financeiro.</c:v>
                </c:pt>
                <c:pt idx="21">
                  <c:v>22. Com objetivos comerciais, envio mensagens / brindes aos clientes em datas especiais.</c:v>
                </c:pt>
                <c:pt idx="22">
                  <c:v>23. Faço controles financeiros por meio de registros e utilizo esses dados para subsidiar as minhas decisões.</c:v>
                </c:pt>
                <c:pt idx="23">
                  <c:v>24. Quando encontro dificuldades na execução de uma atividade, permito-me aguardar um tempo até que elas se resolvam.</c:v>
                </c:pt>
                <c:pt idx="24">
                  <c:v>25. Quando necessário, trabalho muito e com afinco, para completar uma tarefa ou alcançar um objetivo.</c:v>
                </c:pt>
                <c:pt idx="25">
                  <c:v>26. Faço coisas que, na opinião dos outros, são arriscadas.</c:v>
                </c:pt>
                <c:pt idx="26">
                  <c:v>27. Minhas ações diárias são fortemente influenciadas por meus objetivos de vida no médio e longo prazos.</c:v>
                </c:pt>
                <c:pt idx="27">
                  <c:v>28. Visito feiras e participo de eventos e cursos correlatos ao meu empreendimento para conhecer novos produtos, serviços e fornecedores. </c:v>
                </c:pt>
                <c:pt idx="28">
                  <c:v>29. Encontro oportunidades de novos negócios quando identifico necessidades ou diagnostico problemas reais.</c:v>
                </c:pt>
                <c:pt idx="29">
                  <c:v>30. Realizaria vendas para clientes, ainda que não tenha lucro imediato, tendo em vista, futuras possibilidades de outros negócios com eles.</c:v>
                </c:pt>
              </c:strCache>
            </c:strRef>
          </c:cat>
          <c:val>
            <c:numRef>
              <c:f>Consolida_PE!$D$3:$D$32</c:f>
              <c:numCache>
                <c:formatCode>0%</c:formatCode>
                <c:ptCount val="30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</c:numCache>
            </c:numRef>
          </c:val>
        </c:ser>
        <c:ser>
          <c:idx val="3"/>
          <c:order val="4"/>
          <c:tx>
            <c:strRef>
              <c:f>Consolida_PE!$C$1</c:f>
              <c:strCache>
                <c:ptCount val="1"/>
                <c:pt idx="0">
                  <c:v>Inicial</c:v>
                </c:pt>
              </c:strCache>
            </c:strRef>
          </c:tx>
          <c:cat>
            <c:strRef>
              <c:f>Consolida_PE!$B$3:$B$32</c:f>
              <c:strCache>
                <c:ptCount val="30"/>
                <c:pt idx="0">
                  <c:v>1. Quando desconheço algo, não me importo em buscar informações necessárias para o entendimento do negócio.</c:v>
                </c:pt>
                <c:pt idx="1">
                  <c:v>2. As pessoas concordam comigo baseadas em meus argumentos ou estratégias que adoto.</c:v>
                </c:pt>
                <c:pt idx="2">
                  <c:v>3. Escolho situações em que posso controlar ao máximo os resultados finais, considerando as possibilidades de êxito ou fracasso antes de agir.</c:v>
                </c:pt>
                <c:pt idx="3">
                  <c:v>4. Diante as necessidades do mercado, implanto inovações em meus produtos/serviços ofertados pelo empreendimento na minha responsabilidade, ou amplio área geográfica de atuação do empreendimento.</c:v>
                </c:pt>
                <c:pt idx="4">
                  <c:v>5. Reconheço minha responsabilidade nas falhas e eventuais prejuízos financeiros do empreendimento.</c:v>
                </c:pt>
                <c:pt idx="5">
                  <c:v>6. Acredito que posso ser bem sucedido em qualquer atividade que me proponho executar, mesmo sendo algo difícil ou desafiador.</c:v>
                </c:pt>
                <c:pt idx="6">
                  <c:v>7. Meu rendimento no trabalho é bastante eficaz, pois faço as coisas de acordo com o que foi estabelecido, dando ênfase à otimização do tempo.</c:v>
                </c:pt>
                <c:pt idx="7">
                  <c:v>8. Para mim, é mais importante a minha opinião do que a opinião de outras pessoas sobre o que faço e a maneira como eu faço.</c:v>
                </c:pt>
                <c:pt idx="8">
                  <c:v>9. Executo minhas atividades bem como as atividades dos funcionários no dia a dia do empreendimento.</c:v>
                </c:pt>
                <c:pt idx="9">
                  <c:v>10. Adoto, como parâmetro nas negociações, o ditado “quem não arrisca, não petisca”.</c:v>
                </c:pt>
                <c:pt idx="10">
                  <c:v>11. Busco toda e qualquer informação disponível no mercado para utilizar no empreendimento.</c:v>
                </c:pt>
                <c:pt idx="11">
                  <c:v>12. Sei, de forma clara, o que quero alcançar no horizonte de médio e longo prazos e estabeleço parâmetros que permitam medir e avaliar o meu desempenho.</c:v>
                </c:pt>
                <c:pt idx="12">
                  <c:v>13. Faço as coisas preocupando-me com meus clientes, pois eles sempre têm razão e estão acima de qualquer coisa.</c:v>
                </c:pt>
                <c:pt idx="13">
                  <c:v>14. Defino, a cada dia, o percentual de lucro que quero obter com o empreendimento.</c:v>
                </c:pt>
                <c:pt idx="14">
                  <c:v>15. Quando tenho um projeto de grande porte, divido-o em tarefas mais simples, com prazos estabelecidos antecipadamente.</c:v>
                </c:pt>
                <c:pt idx="15">
                  <c:v>16. Mesmo que eu já esteja obtendo bons resultados no empreendimento, encontro formas de melhorar o que faço (agilidade, custos, qualidade).</c:v>
                </c:pt>
                <c:pt idx="16">
                  <c:v>17. Confio em minha capacidade de tomar decisões e solucionar problemas desafiantes que encontro na rotina do empreendimento.</c:v>
                </c:pt>
                <c:pt idx="17">
                  <c:v>18. Na execução das atividades, minha intuição e criatividade são suficientes para decidir como fazer. Organização e controle são aspectos secundários.</c:v>
                </c:pt>
                <c:pt idx="18">
                  <c:v>19. Identifico pessoas influentes e solicito apoio delas para alcançar minhas metas, pois somente assim consigo obter resultados positivos.</c:v>
                </c:pt>
                <c:pt idx="19">
                  <c:v>20. Insisto várias vezes para conseguir o que pretendo.</c:v>
                </c:pt>
                <c:pt idx="20">
                  <c:v>21. Aproveito, sem restrições, todas as oportunidades que surgem no mercado, pois elas trazem retorno financeiro.</c:v>
                </c:pt>
                <c:pt idx="21">
                  <c:v>22. Com objetivos comerciais, envio mensagens / brindes aos clientes em datas especiais.</c:v>
                </c:pt>
                <c:pt idx="22">
                  <c:v>23. Faço controles financeiros por meio de registros e utilizo esses dados para subsidiar as minhas decisões.</c:v>
                </c:pt>
                <c:pt idx="23">
                  <c:v>24. Quando encontro dificuldades na execução de uma atividade, permito-me aguardar um tempo até que elas se resolvam.</c:v>
                </c:pt>
                <c:pt idx="24">
                  <c:v>25. Quando necessário, trabalho muito e com afinco, para completar uma tarefa ou alcançar um objetivo.</c:v>
                </c:pt>
                <c:pt idx="25">
                  <c:v>26. Faço coisas que, na opinião dos outros, são arriscadas.</c:v>
                </c:pt>
                <c:pt idx="26">
                  <c:v>27. Minhas ações diárias são fortemente influenciadas por meus objetivos de vida no médio e longo prazos.</c:v>
                </c:pt>
                <c:pt idx="27">
                  <c:v>28. Visito feiras e participo de eventos e cursos correlatos ao meu empreendimento para conhecer novos produtos, serviços e fornecedores. </c:v>
                </c:pt>
                <c:pt idx="28">
                  <c:v>29. Encontro oportunidades de novos negócios quando identifico necessidades ou diagnostico problemas reais.</c:v>
                </c:pt>
                <c:pt idx="29">
                  <c:v>30. Realizaria vendas para clientes, ainda que não tenha lucro imediato, tendo em vista, futuras possibilidades de outros negócios com eles.</c:v>
                </c:pt>
              </c:strCache>
            </c:strRef>
          </c:cat>
          <c:val>
            <c:numRef>
              <c:f>Consolida_PE!$C$3:$C$32</c:f>
              <c:numCache>
                <c:formatCode>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5"/>
          <c:order val="5"/>
          <c:tx>
            <c:strRef>
              <c:f>Consolida_PE!$P$1</c:f>
              <c:strCache>
                <c:ptCount val="1"/>
                <c:pt idx="0">
                  <c:v>Respostas Empreendedores</c:v>
                </c:pt>
              </c:strCache>
            </c:strRef>
          </c:tx>
          <c:spPr>
            <a:solidFill>
              <a:srgbClr val="FF0000">
                <a:alpha val="30000"/>
              </a:srgbClr>
            </a:solidFill>
            <a:ln w="12700">
              <a:solidFill>
                <a:srgbClr val="FF0000"/>
              </a:solidFill>
            </a:ln>
          </c:spP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pt-BR"/>
              </a:p>
            </c:txPr>
            <c:showVal val="1"/>
          </c:dLbls>
          <c:cat>
            <c:strRef>
              <c:f>Consolida_PE!$B$3:$B$32</c:f>
              <c:strCache>
                <c:ptCount val="30"/>
                <c:pt idx="0">
                  <c:v>1. Quando desconheço algo, não me importo em buscar informações necessárias para o entendimento do negócio.</c:v>
                </c:pt>
                <c:pt idx="1">
                  <c:v>2. As pessoas concordam comigo baseadas em meus argumentos ou estratégias que adoto.</c:v>
                </c:pt>
                <c:pt idx="2">
                  <c:v>3. Escolho situações em que posso controlar ao máximo os resultados finais, considerando as possibilidades de êxito ou fracasso antes de agir.</c:v>
                </c:pt>
                <c:pt idx="3">
                  <c:v>4. Diante as necessidades do mercado, implanto inovações em meus produtos/serviços ofertados pelo empreendimento na minha responsabilidade, ou amplio área geográfica de atuação do empreendimento.</c:v>
                </c:pt>
                <c:pt idx="4">
                  <c:v>5. Reconheço minha responsabilidade nas falhas e eventuais prejuízos financeiros do empreendimento.</c:v>
                </c:pt>
                <c:pt idx="5">
                  <c:v>6. Acredito que posso ser bem sucedido em qualquer atividade que me proponho executar, mesmo sendo algo difícil ou desafiador.</c:v>
                </c:pt>
                <c:pt idx="6">
                  <c:v>7. Meu rendimento no trabalho é bastante eficaz, pois faço as coisas de acordo com o que foi estabelecido, dando ênfase à otimização do tempo.</c:v>
                </c:pt>
                <c:pt idx="7">
                  <c:v>8. Para mim, é mais importante a minha opinião do que a opinião de outras pessoas sobre o que faço e a maneira como eu faço.</c:v>
                </c:pt>
                <c:pt idx="8">
                  <c:v>9. Executo minhas atividades bem como as atividades dos funcionários no dia a dia do empreendimento.</c:v>
                </c:pt>
                <c:pt idx="9">
                  <c:v>10. Adoto, como parâmetro nas negociações, o ditado “quem não arrisca, não petisca”.</c:v>
                </c:pt>
                <c:pt idx="10">
                  <c:v>11. Busco toda e qualquer informação disponível no mercado para utilizar no empreendimento.</c:v>
                </c:pt>
                <c:pt idx="11">
                  <c:v>12. Sei, de forma clara, o que quero alcançar no horizonte de médio e longo prazos e estabeleço parâmetros que permitam medir e avaliar o meu desempenho.</c:v>
                </c:pt>
                <c:pt idx="12">
                  <c:v>13. Faço as coisas preocupando-me com meus clientes, pois eles sempre têm razão e estão acima de qualquer coisa.</c:v>
                </c:pt>
                <c:pt idx="13">
                  <c:v>14. Defino, a cada dia, o percentual de lucro que quero obter com o empreendimento.</c:v>
                </c:pt>
                <c:pt idx="14">
                  <c:v>15. Quando tenho um projeto de grande porte, divido-o em tarefas mais simples, com prazos estabelecidos antecipadamente.</c:v>
                </c:pt>
                <c:pt idx="15">
                  <c:v>16. Mesmo que eu já esteja obtendo bons resultados no empreendimento, encontro formas de melhorar o que faço (agilidade, custos, qualidade).</c:v>
                </c:pt>
                <c:pt idx="16">
                  <c:v>17. Confio em minha capacidade de tomar decisões e solucionar problemas desafiantes que encontro na rotina do empreendimento.</c:v>
                </c:pt>
                <c:pt idx="17">
                  <c:v>18. Na execução das atividades, minha intuição e criatividade são suficientes para decidir como fazer. Organização e controle são aspectos secundários.</c:v>
                </c:pt>
                <c:pt idx="18">
                  <c:v>19. Identifico pessoas influentes e solicito apoio delas para alcançar minhas metas, pois somente assim consigo obter resultados positivos.</c:v>
                </c:pt>
                <c:pt idx="19">
                  <c:v>20. Insisto várias vezes para conseguir o que pretendo.</c:v>
                </c:pt>
                <c:pt idx="20">
                  <c:v>21. Aproveito, sem restrições, todas as oportunidades que surgem no mercado, pois elas trazem retorno financeiro.</c:v>
                </c:pt>
                <c:pt idx="21">
                  <c:v>22. Com objetivos comerciais, envio mensagens / brindes aos clientes em datas especiais.</c:v>
                </c:pt>
                <c:pt idx="22">
                  <c:v>23. Faço controles financeiros por meio de registros e utilizo esses dados para subsidiar as minhas decisões.</c:v>
                </c:pt>
                <c:pt idx="23">
                  <c:v>24. Quando encontro dificuldades na execução de uma atividade, permito-me aguardar um tempo até que elas se resolvam.</c:v>
                </c:pt>
                <c:pt idx="24">
                  <c:v>25. Quando necessário, trabalho muito e com afinco, para completar uma tarefa ou alcançar um objetivo.</c:v>
                </c:pt>
                <c:pt idx="25">
                  <c:v>26. Faço coisas que, na opinião dos outros, são arriscadas.</c:v>
                </c:pt>
                <c:pt idx="26">
                  <c:v>27. Minhas ações diárias são fortemente influenciadas por meus objetivos de vida no médio e longo prazos.</c:v>
                </c:pt>
                <c:pt idx="27">
                  <c:v>28. Visito feiras e participo de eventos e cursos correlatos ao meu empreendimento para conhecer novos produtos, serviços e fornecedores. </c:v>
                </c:pt>
                <c:pt idx="28">
                  <c:v>29. Encontro oportunidades de novos negócios quando identifico necessidades ou diagnostico problemas reais.</c:v>
                </c:pt>
                <c:pt idx="29">
                  <c:v>30. Realizaria vendas para clientes, ainda que não tenha lucro imediato, tendo em vista, futuras possibilidades de outros negócios com eles.</c:v>
                </c:pt>
              </c:strCache>
            </c:strRef>
          </c:cat>
          <c:val>
            <c:numRef>
              <c:f>Consolida_PE!$P$3:$P$32</c:f>
              <c:numCache>
                <c:formatCode>0%</c:formatCode>
                <c:ptCount val="30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0.5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0.25</c:v>
                </c:pt>
                <c:pt idx="9">
                  <c:v>0.25</c:v>
                </c:pt>
                <c:pt idx="10">
                  <c:v>0.5</c:v>
                </c:pt>
                <c:pt idx="11">
                  <c:v>0.25</c:v>
                </c:pt>
                <c:pt idx="12">
                  <c:v>0.5</c:v>
                </c:pt>
                <c:pt idx="13">
                  <c:v>0.8</c:v>
                </c:pt>
                <c:pt idx="14">
                  <c:v>0.5</c:v>
                </c:pt>
                <c:pt idx="15">
                  <c:v>0.25</c:v>
                </c:pt>
                <c:pt idx="16">
                  <c:v>0.8</c:v>
                </c:pt>
                <c:pt idx="17">
                  <c:v>0.8</c:v>
                </c:pt>
                <c:pt idx="18">
                  <c:v>0.5</c:v>
                </c:pt>
                <c:pt idx="19">
                  <c:v>0.5</c:v>
                </c:pt>
                <c:pt idx="20">
                  <c:v>0.25</c:v>
                </c:pt>
                <c:pt idx="21">
                  <c:v>0.8</c:v>
                </c:pt>
                <c:pt idx="22">
                  <c:v>0.25</c:v>
                </c:pt>
                <c:pt idx="23">
                  <c:v>0.8</c:v>
                </c:pt>
                <c:pt idx="24">
                  <c:v>0.8</c:v>
                </c:pt>
                <c:pt idx="25">
                  <c:v>0.25</c:v>
                </c:pt>
                <c:pt idx="26">
                  <c:v>0.5</c:v>
                </c:pt>
                <c:pt idx="27">
                  <c:v>0.25</c:v>
                </c:pt>
                <c:pt idx="28">
                  <c:v>0.5</c:v>
                </c:pt>
                <c:pt idx="29">
                  <c:v>0.8</c:v>
                </c:pt>
              </c:numCache>
            </c:numRef>
          </c:val>
        </c:ser>
        <c:axId val="98012544"/>
        <c:axId val="98026624"/>
      </c:radarChart>
      <c:catAx>
        <c:axId val="98012544"/>
        <c:scaling>
          <c:orientation val="minMax"/>
        </c:scaling>
        <c:axPos val="b"/>
        <c:majorGridlines/>
        <c:numFmt formatCode="General" sourceLinked="0"/>
        <c:tickLblPos val="nextTo"/>
        <c:txPr>
          <a:bodyPr/>
          <a:lstStyle/>
          <a:p>
            <a:pPr>
              <a:defRPr b="1"/>
            </a:pPr>
            <a:endParaRPr lang="pt-BR"/>
          </a:p>
        </c:txPr>
        <c:crossAx val="98026624"/>
        <c:crosses val="autoZero"/>
        <c:lblAlgn val="ctr"/>
        <c:lblOffset val="100"/>
      </c:catAx>
      <c:valAx>
        <c:axId val="98026624"/>
        <c:scaling>
          <c:orientation val="minMax"/>
        </c:scaling>
        <c:axPos val="l"/>
        <c:majorGridlines/>
        <c:numFmt formatCode="0%" sourceLinked="1"/>
        <c:majorTickMark val="cross"/>
        <c:tickLblPos val="nextTo"/>
        <c:crossAx val="98012544"/>
        <c:crosses val="autoZero"/>
        <c:crossBetween val="between"/>
        <c:majorUnit val="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200938419309168"/>
          <c:y val="0.95103626618052439"/>
          <c:w val="0.57113498904166204"/>
          <c:h val="3.726232921811494E-2"/>
        </c:manualLayout>
      </c:layout>
      <c:txPr>
        <a:bodyPr/>
        <a:lstStyle/>
        <a:p>
          <a:pPr>
            <a:defRPr sz="1400" b="1"/>
          </a:pPr>
          <a:endParaRPr lang="pt-BR"/>
        </a:p>
      </c:txPr>
    </c:legend>
    <c:plotVisOnly val="1"/>
    <c:dispBlanksAs val="gap"/>
  </c:chart>
  <c:txPr>
    <a:bodyPr/>
    <a:lstStyle/>
    <a:p>
      <a:pPr>
        <a:defRPr sz="800"/>
      </a:pPr>
      <a:endParaRPr lang="pt-BR"/>
    </a:p>
  </c:txPr>
  <c:printSettings>
    <c:headerFooter/>
    <c:pageMargins b="0.78740157499999996" l="0.511811024" r="0.511811024" t="0.78740157499999996" header="0.31496062000000374" footer="0.3149606200000037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style val="7"/>
  <c:chart>
    <c:plotArea>
      <c:layout>
        <c:manualLayout>
          <c:layoutTarget val="inner"/>
          <c:xMode val="edge"/>
          <c:yMode val="edge"/>
          <c:x val="0.29709007298961765"/>
          <c:y val="9.0387220116004016E-2"/>
          <c:w val="0.36976534720315485"/>
          <c:h val="0.84844721030948778"/>
        </c:manualLayout>
      </c:layout>
      <c:radarChart>
        <c:radarStyle val="filled"/>
        <c:ser>
          <c:idx val="3"/>
          <c:order val="0"/>
          <c:tx>
            <c:strRef>
              <c:f>Consolida_Dimensões_Sintético!$E$1</c:f>
              <c:strCache>
                <c:ptCount val="1"/>
                <c:pt idx="0">
                  <c:v>Otimizado</c:v>
                </c:pt>
              </c:strCache>
            </c:strRef>
          </c:tx>
          <c:spPr>
            <a:ln w="25400">
              <a:noFill/>
            </a:ln>
          </c:spPr>
          <c:cat>
            <c:strRef>
              <c:f>Consolida_Dimensões_Sintético!$A$3:$A$7</c:f>
              <c:strCache>
                <c:ptCount val="5"/>
                <c:pt idx="0">
                  <c:v>Empreendedor</c:v>
                </c:pt>
                <c:pt idx="1">
                  <c:v>Tecnologia</c:v>
                </c:pt>
                <c:pt idx="2">
                  <c:v>Capital</c:v>
                </c:pt>
                <c:pt idx="3">
                  <c:v>Mercado</c:v>
                </c:pt>
                <c:pt idx="4">
                  <c:v>Gestão</c:v>
                </c:pt>
              </c:strCache>
            </c:strRef>
          </c:cat>
          <c:val>
            <c:numRef>
              <c:f>Consolida_Dimensões_Sintético!$E$3:$E$7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</c:ser>
        <c:ser>
          <c:idx val="2"/>
          <c:order val="1"/>
          <c:tx>
            <c:strRef>
              <c:f>Consolida_Dimensões_Sintético!$D$1</c:f>
              <c:strCache>
                <c:ptCount val="1"/>
                <c:pt idx="0">
                  <c:v>Levemente Otimizado</c:v>
                </c:pt>
              </c:strCache>
            </c:strRef>
          </c:tx>
          <c:spPr>
            <a:ln w="25400">
              <a:noFill/>
            </a:ln>
          </c:spPr>
          <c:cat>
            <c:strRef>
              <c:f>Consolida_Dimensões_Sintético!$A$3:$A$7</c:f>
              <c:strCache>
                <c:ptCount val="5"/>
                <c:pt idx="0">
                  <c:v>Empreendedor</c:v>
                </c:pt>
                <c:pt idx="1">
                  <c:v>Tecnologia</c:v>
                </c:pt>
                <c:pt idx="2">
                  <c:v>Capital</c:v>
                </c:pt>
                <c:pt idx="3">
                  <c:v>Mercado</c:v>
                </c:pt>
                <c:pt idx="4">
                  <c:v>Gestão</c:v>
                </c:pt>
              </c:strCache>
            </c:strRef>
          </c:cat>
          <c:val>
            <c:numRef>
              <c:f>Consolida_Dimensões_Sintético!$D$3:$D$7</c:f>
              <c:numCache>
                <c:formatCode>0%</c:formatCode>
                <c:ptCount val="5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</c:numCache>
            </c:numRef>
          </c:val>
        </c:ser>
        <c:ser>
          <c:idx val="1"/>
          <c:order val="2"/>
          <c:tx>
            <c:strRef>
              <c:f>Consolida_Dimensões_Sintético!$C$1</c:f>
              <c:strCache>
                <c:ptCount val="1"/>
                <c:pt idx="0">
                  <c:v>Levemente Inicial</c:v>
                </c:pt>
              </c:strCache>
            </c:strRef>
          </c:tx>
          <c:spPr>
            <a:ln w="25400">
              <a:noFill/>
            </a:ln>
          </c:spPr>
          <c:cat>
            <c:strRef>
              <c:f>Consolida_Dimensões_Sintético!$A$3:$A$7</c:f>
              <c:strCache>
                <c:ptCount val="5"/>
                <c:pt idx="0">
                  <c:v>Empreendedor</c:v>
                </c:pt>
                <c:pt idx="1">
                  <c:v>Tecnologia</c:v>
                </c:pt>
                <c:pt idx="2">
                  <c:v>Capital</c:v>
                </c:pt>
                <c:pt idx="3">
                  <c:v>Mercado</c:v>
                </c:pt>
                <c:pt idx="4">
                  <c:v>Gestão</c:v>
                </c:pt>
              </c:strCache>
            </c:strRef>
          </c:cat>
          <c:val>
            <c:numRef>
              <c:f>Consolida_Dimensões_Sintético!$C$3:$C$7</c:f>
              <c:numCache>
                <c:formatCode>0%</c:formatCode>
                <c:ptCount val="5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</c:numCache>
            </c:numRef>
          </c:val>
        </c:ser>
        <c:ser>
          <c:idx val="0"/>
          <c:order val="3"/>
          <c:tx>
            <c:strRef>
              <c:f>Consolida_Dimensões_Sintético!$B$1</c:f>
              <c:strCache>
                <c:ptCount val="1"/>
                <c:pt idx="0">
                  <c:v>Inicial</c:v>
                </c:pt>
              </c:strCache>
            </c:strRef>
          </c:tx>
          <c:cat>
            <c:strRef>
              <c:f>Consolida_Dimensões_Sintético!$A$3:$A$7</c:f>
              <c:strCache>
                <c:ptCount val="5"/>
                <c:pt idx="0">
                  <c:v>Empreendedor</c:v>
                </c:pt>
                <c:pt idx="1">
                  <c:v>Tecnologia</c:v>
                </c:pt>
                <c:pt idx="2">
                  <c:v>Capital</c:v>
                </c:pt>
                <c:pt idx="3">
                  <c:v>Mercado</c:v>
                </c:pt>
                <c:pt idx="4">
                  <c:v>Gestão</c:v>
                </c:pt>
              </c:strCache>
            </c:strRef>
          </c:cat>
          <c:val>
            <c:numRef>
              <c:f>Consolida_Dimensões_Sintético!$B$3:$B$7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tx>
            <c:strRef>
              <c:f>Consolida_Dimensões_Sintético!$F$1</c:f>
              <c:strCache>
                <c:ptCount val="1"/>
                <c:pt idx="0">
                  <c:v>Resposta Empreendimento</c:v>
                </c:pt>
              </c:strCache>
            </c:strRef>
          </c:tx>
          <c:spPr>
            <a:solidFill>
              <a:srgbClr val="FF0000">
                <a:alpha val="30000"/>
              </a:srgbClr>
            </a:solidFill>
            <a:ln w="12700">
              <a:solidFill>
                <a:srgbClr val="FF0000"/>
              </a:solidFill>
            </a:ln>
          </c:spP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pt-BR"/>
              </a:p>
            </c:txPr>
            <c:showVal val="1"/>
          </c:dLbls>
          <c:cat>
            <c:strRef>
              <c:f>Consolida_Dimensões_Sintético!$A$3:$A$7</c:f>
              <c:strCache>
                <c:ptCount val="5"/>
                <c:pt idx="0">
                  <c:v>Empreendedor</c:v>
                </c:pt>
                <c:pt idx="1">
                  <c:v>Tecnologia</c:v>
                </c:pt>
                <c:pt idx="2">
                  <c:v>Capital</c:v>
                </c:pt>
                <c:pt idx="3">
                  <c:v>Mercado</c:v>
                </c:pt>
                <c:pt idx="4">
                  <c:v>Gestão</c:v>
                </c:pt>
              </c:strCache>
            </c:strRef>
          </c:cat>
          <c:val>
            <c:numRef>
              <c:f>Consolida_Dimensões_Sintético!$F$3:$F$7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102001280"/>
        <c:axId val="102580608"/>
      </c:radarChart>
      <c:catAx>
        <c:axId val="102001280"/>
        <c:scaling>
          <c:orientation val="minMax"/>
        </c:scaling>
        <c:axPos val="b"/>
        <c:majorGridlines/>
        <c:numFmt formatCode="General" sourceLinked="0"/>
        <c:tickLblPos val="nextTo"/>
        <c:txPr>
          <a:bodyPr/>
          <a:lstStyle/>
          <a:p>
            <a:pPr>
              <a:defRPr sz="1400" b="1"/>
            </a:pPr>
            <a:endParaRPr lang="pt-BR"/>
          </a:p>
        </c:txPr>
        <c:crossAx val="102580608"/>
        <c:crosses val="autoZero"/>
        <c:lblAlgn val="ctr"/>
        <c:lblOffset val="100"/>
      </c:catAx>
      <c:valAx>
        <c:axId val="102580608"/>
        <c:scaling>
          <c:orientation val="minMax"/>
        </c:scaling>
        <c:axPos val="l"/>
        <c:majorGridlines/>
        <c:numFmt formatCode="0%" sourceLinked="1"/>
        <c:majorTickMark val="cross"/>
        <c:tickLblPos val="nextTo"/>
        <c:crossAx val="102001280"/>
        <c:crosses val="autoZero"/>
        <c:crossBetween val="between"/>
        <c:majorUnit val="1"/>
      </c:valAx>
    </c:plotArea>
    <c:legend>
      <c:legendPos val="b"/>
      <c:legendEntry>
        <c:idx val="4"/>
        <c:txPr>
          <a:bodyPr/>
          <a:lstStyle/>
          <a:p>
            <a:pPr>
              <a:defRPr sz="1200" b="1">
                <a:solidFill>
                  <a:srgbClr val="FF0000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wMode val="edge"/>
          <c:hMode val="edge"/>
          <c:x val="0.20711620293205441"/>
          <c:y val="0.94570477572984946"/>
          <c:w val="0.79414423562018244"/>
          <c:h val="0.98789307761110867"/>
        </c:manualLayout>
      </c:layout>
      <c:txPr>
        <a:bodyPr/>
        <a:lstStyle/>
        <a:p>
          <a:pPr>
            <a:defRPr sz="1200" b="1"/>
          </a:pPr>
          <a:endParaRPr lang="pt-BR"/>
        </a:p>
      </c:txPr>
    </c:legend>
    <c:plotVisOnly val="1"/>
    <c:dispBlanksAs val="gap"/>
  </c:chart>
  <c:printSettings>
    <c:headerFooter/>
    <c:pageMargins b="0.78740157499999996" l="0.511811024" r="0.511811024" t="0.78740157499999996" header="0.31496062000000358" footer="0.31496062000000358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style val="7"/>
  <c:chart>
    <c:title>
      <c:tx>
        <c:rich>
          <a:bodyPr/>
          <a:lstStyle/>
          <a:p>
            <a:pPr>
              <a:defRPr/>
            </a:pPr>
            <a:r>
              <a:rPr lang="pt-BR" sz="1800" b="1" i="0" baseline="0"/>
              <a:t>MATURIDADE DOS EMPREENDIMENTOS VINCULADOS AO PROIN/UEG - ANALÍTICO</a:t>
            </a:r>
            <a:endParaRPr lang="pt-BR"/>
          </a:p>
        </c:rich>
      </c:tx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5059799515750408"/>
          <c:y val="0.16181073922465689"/>
          <c:w val="0.45847317689120981"/>
          <c:h val="0.6925114375150494"/>
        </c:manualLayout>
      </c:layout>
      <c:radarChart>
        <c:radarStyle val="filled"/>
        <c:ser>
          <c:idx val="3"/>
          <c:order val="0"/>
          <c:tx>
            <c:strRef>
              <c:f>Consolida_Dimensões_Analítico!$F$1</c:f>
              <c:strCache>
                <c:ptCount val="1"/>
                <c:pt idx="0">
                  <c:v>Otimizado</c:v>
                </c:pt>
              </c:strCache>
            </c:strRef>
          </c:tx>
          <c:cat>
            <c:strRef>
              <c:f>Consolida_Dimensões_Analítico!$B$3:$B$44</c:f>
              <c:strCache>
                <c:ptCount val="42"/>
                <c:pt idx="0">
                  <c:v>1. Investimento no desenvolvimento e aplicação de conhecimentos.</c:v>
                </c:pt>
                <c:pt idx="1">
                  <c:v>2. Os empreendedores possuem formação prática em empreendedorismo.</c:v>
                </c:pt>
                <c:pt idx="2">
                  <c:v>3. Os empreendedores praticam ações para desenvolvimento das caracteristicas empreendedoras.</c:v>
                </c:pt>
                <c:pt idx="3">
                  <c:v>4. As funções e as responsabilidades dos empreendedores estão definidas.</c:v>
                </c:pt>
                <c:pt idx="4">
                  <c:v>5. Qualidade das decisões dos empreendedores.</c:v>
                </c:pt>
                <c:pt idx="5">
                  <c:v>6. Decisões estratégicas e decisões de rotina.</c:v>
                </c:pt>
                <c:pt idx="6">
                  <c:v>7. Decisões assertivas e no momento oportuno.</c:v>
                </c:pt>
                <c:pt idx="7">
                  <c:v>8. Alinhamento nas decisões estratégicas e de rotina.</c:v>
                </c:pt>
                <c:pt idx="8">
                  <c:v>9. Reconhecimento e incentivo entre os empreendedores são praticados à medida que os resultados esperados são alcançados (regra clara na partilha dos resultados positivos e negativos). [NÃO SE APLICA À MODALIDADE DE PRÉ-INCUBAÇÃO]</c:v>
                </c:pt>
                <c:pt idx="9">
                  <c:v>1. Modelo de negócio, proposta de valor e validações iniciais.</c:v>
                </c:pt>
                <c:pt idx="10">
                  <c:v>2. Validação do Tripé de Sustentação do Negócio.</c:v>
                </c:pt>
                <c:pt idx="11">
                  <c:v>3. Protótipo ou Produto Mínimo Viável e Fluxo do Processo.</c:v>
                </c:pt>
                <c:pt idx="12">
                  <c:v>4. Quanto a Análise de viabilidade (mercado, operacional, financeira, crescimento, produto/serviço) e Plano de Desenvolvimento do Produto/Serviço, necessários para o Planejamento do Negócio e do Produto, Serviço e/ou Tecnologia.</c:v>
                </c:pt>
                <c:pt idx="13">
                  <c:v>5. Os registros e licenças.</c:v>
                </c:pt>
                <c:pt idx="14">
                  <c:v>6. Propriedade Intelectual/Patente.</c:v>
                </c:pt>
                <c:pt idx="15">
                  <c:v>7. Informações comparativas na análise do desempenho e melhoria.</c:v>
                </c:pt>
                <c:pt idx="16">
                  <c:v>1. Recursos/investimentos financeiros necessários para o desenvolvimento do produto e/ou serviço ou operação (venda e distribuição).</c:v>
                </c:pt>
                <c:pt idx="17">
                  <c:v>2. Fontes de financiamento.</c:v>
                </c:pt>
                <c:pt idx="18">
                  <c:v>3. Projeções de receitas e de custos.</c:v>
                </c:pt>
                <c:pt idx="19">
                  <c:v>4. Alavancagem financeira.</c:v>
                </c:pt>
                <c:pt idx="20">
                  <c:v>5. Cultura de projetos e captação de recursos para desenvolvimento do produto e/ou serviço.</c:v>
                </c:pt>
                <c:pt idx="21">
                  <c:v>1. Segmentação de clientes e necessidades.</c:v>
                </c:pt>
                <c:pt idx="22">
                  <c:v>2. Dimensionamento de mercado e preço do produto/serviço.</c:v>
                </c:pt>
                <c:pt idx="23">
                  <c:v>3. Canais</c:v>
                </c:pt>
                <c:pt idx="24">
                  <c:v>4. Reclamações dos clientes. [NÃO SE APLICA À MODALIDADE DE PRÉ-INCUBAÇÃO]</c:v>
                </c:pt>
                <c:pt idx="25">
                  <c:v>5. Informações para fidelização, a captação de novos clientes e relacionamento. [NÃO SE APLICA À MODALIDADE DE PRÉ-INCUBAÇÃO]</c:v>
                </c:pt>
                <c:pt idx="26">
                  <c:v>6. Cadastro de clientes. [NÃO SE APLICA À MODALIDADE DE PRÉ-INCUBAÇÃO]</c:v>
                </c:pt>
                <c:pt idx="27">
                  <c:v>7. Prospecção.</c:v>
                </c:pt>
                <c:pt idx="28">
                  <c:v>8. Informações externas e oportunidades de inovação.</c:v>
                </c:pt>
                <c:pt idx="29">
                  <c:v>9. Estratégias de internacionalização.</c:v>
                </c:pt>
                <c:pt idx="30">
                  <c:v>10. Desempenho das vendas. [NÃO SE APLICA À MODALIDADE DE PRÉ-INCUBAÇÃO]</c:v>
                </c:pt>
                <c:pt idx="31">
                  <c:v>11. Pós-Venda. [NÃO SE APLICA À MODALIDADE DE PRÉ-INCUBAÇÃO]</c:v>
                </c:pt>
                <c:pt idx="32">
                  <c:v>12. Identidade visual. [NÃO SE APLICA À MODALIDADE DE PRÉ-INCUBAÇÃO]</c:v>
                </c:pt>
                <c:pt idx="33">
                  <c:v>1. Empreendimento legalmente constituído.</c:v>
                </c:pt>
                <c:pt idx="34">
                  <c:v>2. Impactos negativos causados pelo empreendimento são conhecidos e tratados.</c:v>
                </c:pt>
                <c:pt idx="35">
                  <c:v>3. Os perigos e os riscos relacionados à SST dos empreendedores são identificados e tratados.</c:v>
                </c:pt>
                <c:pt idx="36">
                  <c:v>4. Ideologia Missão, Visão, Valores.</c:v>
                </c:pt>
                <c:pt idx="37">
                  <c:v>5. As principais diretrizes e os respectivos planos de ação.</c:v>
                </c:pt>
                <c:pt idx="38">
                  <c:v>6. Indicadores e metas para os planos de ação e para o empreendimento como um todo.</c:v>
                </c:pt>
                <c:pt idx="39">
                  <c:v>7. A jornada do cliente e os processos de suporte. [NÃO SE APLICA À MODALIDADE DE PRÉ-INCUBAÇÃO]</c:v>
                </c:pt>
                <c:pt idx="40">
                  <c:v>8. Os potenciais fornecedores requeridos pelo negócio são conhecidos.</c:v>
                </c:pt>
                <c:pt idx="41">
                  <c:v>9. Os principais fornecedores estão estabelecidos (vínculo formal) e, além disso, são avaliados.</c:v>
                </c:pt>
              </c:strCache>
            </c:strRef>
          </c:cat>
          <c:val>
            <c:numRef>
              <c:f>Consolida_Dimensões_Analítico!$F$3:$F$44</c:f>
              <c:numCache>
                <c:formatCode>0%</c:formatCode>
                <c:ptCount val="4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</c:numCache>
            </c:numRef>
          </c:val>
        </c:ser>
        <c:ser>
          <c:idx val="2"/>
          <c:order val="1"/>
          <c:tx>
            <c:strRef>
              <c:f>Consolida_Dimensões_Analítico!$E$1</c:f>
              <c:strCache>
                <c:ptCount val="1"/>
                <c:pt idx="0">
                  <c:v>Levemente Otimizado</c:v>
                </c:pt>
              </c:strCache>
            </c:strRef>
          </c:tx>
          <c:cat>
            <c:strRef>
              <c:f>Consolida_Dimensões_Analítico!$B$3:$B$44</c:f>
              <c:strCache>
                <c:ptCount val="42"/>
                <c:pt idx="0">
                  <c:v>1. Investimento no desenvolvimento e aplicação de conhecimentos.</c:v>
                </c:pt>
                <c:pt idx="1">
                  <c:v>2. Os empreendedores possuem formação prática em empreendedorismo.</c:v>
                </c:pt>
                <c:pt idx="2">
                  <c:v>3. Os empreendedores praticam ações para desenvolvimento das caracteristicas empreendedoras.</c:v>
                </c:pt>
                <c:pt idx="3">
                  <c:v>4. As funções e as responsabilidades dos empreendedores estão definidas.</c:v>
                </c:pt>
                <c:pt idx="4">
                  <c:v>5. Qualidade das decisões dos empreendedores.</c:v>
                </c:pt>
                <c:pt idx="5">
                  <c:v>6. Decisões estratégicas e decisões de rotina.</c:v>
                </c:pt>
                <c:pt idx="6">
                  <c:v>7. Decisões assertivas e no momento oportuno.</c:v>
                </c:pt>
                <c:pt idx="7">
                  <c:v>8. Alinhamento nas decisões estratégicas e de rotina.</c:v>
                </c:pt>
                <c:pt idx="8">
                  <c:v>9. Reconhecimento e incentivo entre os empreendedores são praticados à medida que os resultados esperados são alcançados (regra clara na partilha dos resultados positivos e negativos). [NÃO SE APLICA À MODALIDADE DE PRÉ-INCUBAÇÃO]</c:v>
                </c:pt>
                <c:pt idx="9">
                  <c:v>1. Modelo de negócio, proposta de valor e validações iniciais.</c:v>
                </c:pt>
                <c:pt idx="10">
                  <c:v>2. Validação do Tripé de Sustentação do Negócio.</c:v>
                </c:pt>
                <c:pt idx="11">
                  <c:v>3. Protótipo ou Produto Mínimo Viável e Fluxo do Processo.</c:v>
                </c:pt>
                <c:pt idx="12">
                  <c:v>4. Quanto a Análise de viabilidade (mercado, operacional, financeira, crescimento, produto/serviço) e Plano de Desenvolvimento do Produto/Serviço, necessários para o Planejamento do Negócio e do Produto, Serviço e/ou Tecnologia.</c:v>
                </c:pt>
                <c:pt idx="13">
                  <c:v>5. Os registros e licenças.</c:v>
                </c:pt>
                <c:pt idx="14">
                  <c:v>6. Propriedade Intelectual/Patente.</c:v>
                </c:pt>
                <c:pt idx="15">
                  <c:v>7. Informações comparativas na análise do desempenho e melhoria.</c:v>
                </c:pt>
                <c:pt idx="16">
                  <c:v>1. Recursos/investimentos financeiros necessários para o desenvolvimento do produto e/ou serviço ou operação (venda e distribuição).</c:v>
                </c:pt>
                <c:pt idx="17">
                  <c:v>2. Fontes de financiamento.</c:v>
                </c:pt>
                <c:pt idx="18">
                  <c:v>3. Projeções de receitas e de custos.</c:v>
                </c:pt>
                <c:pt idx="19">
                  <c:v>4. Alavancagem financeira.</c:v>
                </c:pt>
                <c:pt idx="20">
                  <c:v>5. Cultura de projetos e captação de recursos para desenvolvimento do produto e/ou serviço.</c:v>
                </c:pt>
                <c:pt idx="21">
                  <c:v>1. Segmentação de clientes e necessidades.</c:v>
                </c:pt>
                <c:pt idx="22">
                  <c:v>2. Dimensionamento de mercado e preço do produto/serviço.</c:v>
                </c:pt>
                <c:pt idx="23">
                  <c:v>3. Canais</c:v>
                </c:pt>
                <c:pt idx="24">
                  <c:v>4. Reclamações dos clientes. [NÃO SE APLICA À MODALIDADE DE PRÉ-INCUBAÇÃO]</c:v>
                </c:pt>
                <c:pt idx="25">
                  <c:v>5. Informações para fidelização, a captação de novos clientes e relacionamento. [NÃO SE APLICA À MODALIDADE DE PRÉ-INCUBAÇÃO]</c:v>
                </c:pt>
                <c:pt idx="26">
                  <c:v>6. Cadastro de clientes. [NÃO SE APLICA À MODALIDADE DE PRÉ-INCUBAÇÃO]</c:v>
                </c:pt>
                <c:pt idx="27">
                  <c:v>7. Prospecção.</c:v>
                </c:pt>
                <c:pt idx="28">
                  <c:v>8. Informações externas e oportunidades de inovação.</c:v>
                </c:pt>
                <c:pt idx="29">
                  <c:v>9. Estratégias de internacionalização.</c:v>
                </c:pt>
                <c:pt idx="30">
                  <c:v>10. Desempenho das vendas. [NÃO SE APLICA À MODALIDADE DE PRÉ-INCUBAÇÃO]</c:v>
                </c:pt>
                <c:pt idx="31">
                  <c:v>11. Pós-Venda. [NÃO SE APLICA À MODALIDADE DE PRÉ-INCUBAÇÃO]</c:v>
                </c:pt>
                <c:pt idx="32">
                  <c:v>12. Identidade visual. [NÃO SE APLICA À MODALIDADE DE PRÉ-INCUBAÇÃO]</c:v>
                </c:pt>
                <c:pt idx="33">
                  <c:v>1. Empreendimento legalmente constituído.</c:v>
                </c:pt>
                <c:pt idx="34">
                  <c:v>2. Impactos negativos causados pelo empreendimento são conhecidos e tratados.</c:v>
                </c:pt>
                <c:pt idx="35">
                  <c:v>3. Os perigos e os riscos relacionados à SST dos empreendedores são identificados e tratados.</c:v>
                </c:pt>
                <c:pt idx="36">
                  <c:v>4. Ideologia Missão, Visão, Valores.</c:v>
                </c:pt>
                <c:pt idx="37">
                  <c:v>5. As principais diretrizes e os respectivos planos de ação.</c:v>
                </c:pt>
                <c:pt idx="38">
                  <c:v>6. Indicadores e metas para os planos de ação e para o empreendimento como um todo.</c:v>
                </c:pt>
                <c:pt idx="39">
                  <c:v>7. A jornada do cliente e os processos de suporte. [NÃO SE APLICA À MODALIDADE DE PRÉ-INCUBAÇÃO]</c:v>
                </c:pt>
                <c:pt idx="40">
                  <c:v>8. Os potenciais fornecedores requeridos pelo negócio são conhecidos.</c:v>
                </c:pt>
                <c:pt idx="41">
                  <c:v>9. Os principais fornecedores estão estabelecidos (vínculo formal) e, além disso, são avaliados.</c:v>
                </c:pt>
              </c:strCache>
            </c:strRef>
          </c:cat>
          <c:val>
            <c:numRef>
              <c:f>Consolida_Dimensões_Analítico!$E$3:$E$44</c:f>
              <c:numCache>
                <c:formatCode>0%</c:formatCode>
                <c:ptCount val="42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3">
                  <c:v>0.8</c:v>
                </c:pt>
                <c:pt idx="24">
                  <c:v>0.8</c:v>
                </c:pt>
                <c:pt idx="25">
                  <c:v>0.8</c:v>
                </c:pt>
                <c:pt idx="26">
                  <c:v>0.8</c:v>
                </c:pt>
                <c:pt idx="27">
                  <c:v>0.8</c:v>
                </c:pt>
                <c:pt idx="28">
                  <c:v>0.8</c:v>
                </c:pt>
                <c:pt idx="29">
                  <c:v>0.8</c:v>
                </c:pt>
                <c:pt idx="30">
                  <c:v>0.8</c:v>
                </c:pt>
                <c:pt idx="31">
                  <c:v>0.8</c:v>
                </c:pt>
                <c:pt idx="32">
                  <c:v>0.8</c:v>
                </c:pt>
                <c:pt idx="33">
                  <c:v>0.8</c:v>
                </c:pt>
                <c:pt idx="34">
                  <c:v>0.8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</c:numCache>
            </c:numRef>
          </c:val>
        </c:ser>
        <c:ser>
          <c:idx val="1"/>
          <c:order val="2"/>
          <c:tx>
            <c:strRef>
              <c:f>Consolida_Dimensões_Analítico!$D$1</c:f>
              <c:strCache>
                <c:ptCount val="1"/>
                <c:pt idx="0">
                  <c:v>Levemente Inicial</c:v>
                </c:pt>
              </c:strCache>
            </c:strRef>
          </c:tx>
          <c:cat>
            <c:strRef>
              <c:f>Consolida_Dimensões_Analítico!$B$3:$B$44</c:f>
              <c:strCache>
                <c:ptCount val="42"/>
                <c:pt idx="0">
                  <c:v>1. Investimento no desenvolvimento e aplicação de conhecimentos.</c:v>
                </c:pt>
                <c:pt idx="1">
                  <c:v>2. Os empreendedores possuem formação prática em empreendedorismo.</c:v>
                </c:pt>
                <c:pt idx="2">
                  <c:v>3. Os empreendedores praticam ações para desenvolvimento das caracteristicas empreendedoras.</c:v>
                </c:pt>
                <c:pt idx="3">
                  <c:v>4. As funções e as responsabilidades dos empreendedores estão definidas.</c:v>
                </c:pt>
                <c:pt idx="4">
                  <c:v>5. Qualidade das decisões dos empreendedores.</c:v>
                </c:pt>
                <c:pt idx="5">
                  <c:v>6. Decisões estratégicas e decisões de rotina.</c:v>
                </c:pt>
                <c:pt idx="6">
                  <c:v>7. Decisões assertivas e no momento oportuno.</c:v>
                </c:pt>
                <c:pt idx="7">
                  <c:v>8. Alinhamento nas decisões estratégicas e de rotina.</c:v>
                </c:pt>
                <c:pt idx="8">
                  <c:v>9. Reconhecimento e incentivo entre os empreendedores são praticados à medida que os resultados esperados são alcançados (regra clara na partilha dos resultados positivos e negativos). [NÃO SE APLICA À MODALIDADE DE PRÉ-INCUBAÇÃO]</c:v>
                </c:pt>
                <c:pt idx="9">
                  <c:v>1. Modelo de negócio, proposta de valor e validações iniciais.</c:v>
                </c:pt>
                <c:pt idx="10">
                  <c:v>2. Validação do Tripé de Sustentação do Negócio.</c:v>
                </c:pt>
                <c:pt idx="11">
                  <c:v>3. Protótipo ou Produto Mínimo Viável e Fluxo do Processo.</c:v>
                </c:pt>
                <c:pt idx="12">
                  <c:v>4. Quanto a Análise de viabilidade (mercado, operacional, financeira, crescimento, produto/serviço) e Plano de Desenvolvimento do Produto/Serviço, necessários para o Planejamento do Negócio e do Produto, Serviço e/ou Tecnologia.</c:v>
                </c:pt>
                <c:pt idx="13">
                  <c:v>5. Os registros e licenças.</c:v>
                </c:pt>
                <c:pt idx="14">
                  <c:v>6. Propriedade Intelectual/Patente.</c:v>
                </c:pt>
                <c:pt idx="15">
                  <c:v>7. Informações comparativas na análise do desempenho e melhoria.</c:v>
                </c:pt>
                <c:pt idx="16">
                  <c:v>1. Recursos/investimentos financeiros necessários para o desenvolvimento do produto e/ou serviço ou operação (venda e distribuição).</c:v>
                </c:pt>
                <c:pt idx="17">
                  <c:v>2. Fontes de financiamento.</c:v>
                </c:pt>
                <c:pt idx="18">
                  <c:v>3. Projeções de receitas e de custos.</c:v>
                </c:pt>
                <c:pt idx="19">
                  <c:v>4. Alavancagem financeira.</c:v>
                </c:pt>
                <c:pt idx="20">
                  <c:v>5. Cultura de projetos e captação de recursos para desenvolvimento do produto e/ou serviço.</c:v>
                </c:pt>
                <c:pt idx="21">
                  <c:v>1. Segmentação de clientes e necessidades.</c:v>
                </c:pt>
                <c:pt idx="22">
                  <c:v>2. Dimensionamento de mercado e preço do produto/serviço.</c:v>
                </c:pt>
                <c:pt idx="23">
                  <c:v>3. Canais</c:v>
                </c:pt>
                <c:pt idx="24">
                  <c:v>4. Reclamações dos clientes. [NÃO SE APLICA À MODALIDADE DE PRÉ-INCUBAÇÃO]</c:v>
                </c:pt>
                <c:pt idx="25">
                  <c:v>5. Informações para fidelização, a captação de novos clientes e relacionamento. [NÃO SE APLICA À MODALIDADE DE PRÉ-INCUBAÇÃO]</c:v>
                </c:pt>
                <c:pt idx="26">
                  <c:v>6. Cadastro de clientes. [NÃO SE APLICA À MODALIDADE DE PRÉ-INCUBAÇÃO]</c:v>
                </c:pt>
                <c:pt idx="27">
                  <c:v>7. Prospecção.</c:v>
                </c:pt>
                <c:pt idx="28">
                  <c:v>8. Informações externas e oportunidades de inovação.</c:v>
                </c:pt>
                <c:pt idx="29">
                  <c:v>9. Estratégias de internacionalização.</c:v>
                </c:pt>
                <c:pt idx="30">
                  <c:v>10. Desempenho das vendas. [NÃO SE APLICA À MODALIDADE DE PRÉ-INCUBAÇÃO]</c:v>
                </c:pt>
                <c:pt idx="31">
                  <c:v>11. Pós-Venda. [NÃO SE APLICA À MODALIDADE DE PRÉ-INCUBAÇÃO]</c:v>
                </c:pt>
                <c:pt idx="32">
                  <c:v>12. Identidade visual. [NÃO SE APLICA À MODALIDADE DE PRÉ-INCUBAÇÃO]</c:v>
                </c:pt>
                <c:pt idx="33">
                  <c:v>1. Empreendimento legalmente constituído.</c:v>
                </c:pt>
                <c:pt idx="34">
                  <c:v>2. Impactos negativos causados pelo empreendimento são conhecidos e tratados.</c:v>
                </c:pt>
                <c:pt idx="35">
                  <c:v>3. Os perigos e os riscos relacionados à SST dos empreendedores são identificados e tratados.</c:v>
                </c:pt>
                <c:pt idx="36">
                  <c:v>4. Ideologia Missão, Visão, Valores.</c:v>
                </c:pt>
                <c:pt idx="37">
                  <c:v>5. As principais diretrizes e os respectivos planos de ação.</c:v>
                </c:pt>
                <c:pt idx="38">
                  <c:v>6. Indicadores e metas para os planos de ação e para o empreendimento como um todo.</c:v>
                </c:pt>
                <c:pt idx="39">
                  <c:v>7. A jornada do cliente e os processos de suporte. [NÃO SE APLICA À MODALIDADE DE PRÉ-INCUBAÇÃO]</c:v>
                </c:pt>
                <c:pt idx="40">
                  <c:v>8. Os potenciais fornecedores requeridos pelo negócio são conhecidos.</c:v>
                </c:pt>
                <c:pt idx="41">
                  <c:v>9. Os principais fornecedores estão estabelecidos (vínculo formal) e, além disso, são avaliados.</c:v>
                </c:pt>
              </c:strCache>
            </c:strRef>
          </c:cat>
          <c:val>
            <c:numRef>
              <c:f>Consolida_Dimensões_Analítico!$D$3:$D$44</c:f>
              <c:numCache>
                <c:formatCode>0%</c:formatCode>
                <c:ptCount val="42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</c:numCache>
            </c:numRef>
          </c:val>
        </c:ser>
        <c:ser>
          <c:idx val="0"/>
          <c:order val="3"/>
          <c:tx>
            <c:strRef>
              <c:f>Consolida_Dimensões_Analítico!$C$1</c:f>
              <c:strCache>
                <c:ptCount val="1"/>
                <c:pt idx="0">
                  <c:v>Inicial</c:v>
                </c:pt>
              </c:strCache>
            </c:strRef>
          </c:tx>
          <c:cat>
            <c:strRef>
              <c:f>Consolida_Dimensões_Analítico!$B$3:$B$44</c:f>
              <c:strCache>
                <c:ptCount val="42"/>
                <c:pt idx="0">
                  <c:v>1. Investimento no desenvolvimento e aplicação de conhecimentos.</c:v>
                </c:pt>
                <c:pt idx="1">
                  <c:v>2. Os empreendedores possuem formação prática em empreendedorismo.</c:v>
                </c:pt>
                <c:pt idx="2">
                  <c:v>3. Os empreendedores praticam ações para desenvolvimento das caracteristicas empreendedoras.</c:v>
                </c:pt>
                <c:pt idx="3">
                  <c:v>4. As funções e as responsabilidades dos empreendedores estão definidas.</c:v>
                </c:pt>
                <c:pt idx="4">
                  <c:v>5. Qualidade das decisões dos empreendedores.</c:v>
                </c:pt>
                <c:pt idx="5">
                  <c:v>6. Decisões estratégicas e decisões de rotina.</c:v>
                </c:pt>
                <c:pt idx="6">
                  <c:v>7. Decisões assertivas e no momento oportuno.</c:v>
                </c:pt>
                <c:pt idx="7">
                  <c:v>8. Alinhamento nas decisões estratégicas e de rotina.</c:v>
                </c:pt>
                <c:pt idx="8">
                  <c:v>9. Reconhecimento e incentivo entre os empreendedores são praticados à medida que os resultados esperados são alcançados (regra clara na partilha dos resultados positivos e negativos). [NÃO SE APLICA À MODALIDADE DE PRÉ-INCUBAÇÃO]</c:v>
                </c:pt>
                <c:pt idx="9">
                  <c:v>1. Modelo de negócio, proposta de valor e validações iniciais.</c:v>
                </c:pt>
                <c:pt idx="10">
                  <c:v>2. Validação do Tripé de Sustentação do Negócio.</c:v>
                </c:pt>
                <c:pt idx="11">
                  <c:v>3. Protótipo ou Produto Mínimo Viável e Fluxo do Processo.</c:v>
                </c:pt>
                <c:pt idx="12">
                  <c:v>4. Quanto a Análise de viabilidade (mercado, operacional, financeira, crescimento, produto/serviço) e Plano de Desenvolvimento do Produto/Serviço, necessários para o Planejamento do Negócio e do Produto, Serviço e/ou Tecnologia.</c:v>
                </c:pt>
                <c:pt idx="13">
                  <c:v>5. Os registros e licenças.</c:v>
                </c:pt>
                <c:pt idx="14">
                  <c:v>6. Propriedade Intelectual/Patente.</c:v>
                </c:pt>
                <c:pt idx="15">
                  <c:v>7. Informações comparativas na análise do desempenho e melhoria.</c:v>
                </c:pt>
                <c:pt idx="16">
                  <c:v>1. Recursos/investimentos financeiros necessários para o desenvolvimento do produto e/ou serviço ou operação (venda e distribuição).</c:v>
                </c:pt>
                <c:pt idx="17">
                  <c:v>2. Fontes de financiamento.</c:v>
                </c:pt>
                <c:pt idx="18">
                  <c:v>3. Projeções de receitas e de custos.</c:v>
                </c:pt>
                <c:pt idx="19">
                  <c:v>4. Alavancagem financeira.</c:v>
                </c:pt>
                <c:pt idx="20">
                  <c:v>5. Cultura de projetos e captação de recursos para desenvolvimento do produto e/ou serviço.</c:v>
                </c:pt>
                <c:pt idx="21">
                  <c:v>1. Segmentação de clientes e necessidades.</c:v>
                </c:pt>
                <c:pt idx="22">
                  <c:v>2. Dimensionamento de mercado e preço do produto/serviço.</c:v>
                </c:pt>
                <c:pt idx="23">
                  <c:v>3. Canais</c:v>
                </c:pt>
                <c:pt idx="24">
                  <c:v>4. Reclamações dos clientes. [NÃO SE APLICA À MODALIDADE DE PRÉ-INCUBAÇÃO]</c:v>
                </c:pt>
                <c:pt idx="25">
                  <c:v>5. Informações para fidelização, a captação de novos clientes e relacionamento. [NÃO SE APLICA À MODALIDADE DE PRÉ-INCUBAÇÃO]</c:v>
                </c:pt>
                <c:pt idx="26">
                  <c:v>6. Cadastro de clientes. [NÃO SE APLICA À MODALIDADE DE PRÉ-INCUBAÇÃO]</c:v>
                </c:pt>
                <c:pt idx="27">
                  <c:v>7. Prospecção.</c:v>
                </c:pt>
                <c:pt idx="28">
                  <c:v>8. Informações externas e oportunidades de inovação.</c:v>
                </c:pt>
                <c:pt idx="29">
                  <c:v>9. Estratégias de internacionalização.</c:v>
                </c:pt>
                <c:pt idx="30">
                  <c:v>10. Desempenho das vendas. [NÃO SE APLICA À MODALIDADE DE PRÉ-INCUBAÇÃO]</c:v>
                </c:pt>
                <c:pt idx="31">
                  <c:v>11. Pós-Venda. [NÃO SE APLICA À MODALIDADE DE PRÉ-INCUBAÇÃO]</c:v>
                </c:pt>
                <c:pt idx="32">
                  <c:v>12. Identidade visual. [NÃO SE APLICA À MODALIDADE DE PRÉ-INCUBAÇÃO]</c:v>
                </c:pt>
                <c:pt idx="33">
                  <c:v>1. Empreendimento legalmente constituído.</c:v>
                </c:pt>
                <c:pt idx="34">
                  <c:v>2. Impactos negativos causados pelo empreendimento são conhecidos e tratados.</c:v>
                </c:pt>
                <c:pt idx="35">
                  <c:v>3. Os perigos e os riscos relacionados à SST dos empreendedores são identificados e tratados.</c:v>
                </c:pt>
                <c:pt idx="36">
                  <c:v>4. Ideologia Missão, Visão, Valores.</c:v>
                </c:pt>
                <c:pt idx="37">
                  <c:v>5. As principais diretrizes e os respectivos planos de ação.</c:v>
                </c:pt>
                <c:pt idx="38">
                  <c:v>6. Indicadores e metas para os planos de ação e para o empreendimento como um todo.</c:v>
                </c:pt>
                <c:pt idx="39">
                  <c:v>7. A jornada do cliente e os processos de suporte. [NÃO SE APLICA À MODALIDADE DE PRÉ-INCUBAÇÃO]</c:v>
                </c:pt>
                <c:pt idx="40">
                  <c:v>8. Os potenciais fornecedores requeridos pelo negócio são conhecidos.</c:v>
                </c:pt>
                <c:pt idx="41">
                  <c:v>9. Os principais fornecedores estão estabelecidos (vínculo formal) e, além disso, são avaliados.</c:v>
                </c:pt>
              </c:strCache>
            </c:strRef>
          </c:cat>
          <c:val>
            <c:numRef>
              <c:f>Consolida_Dimensões_Analítico!$C$3:$C$44</c:f>
              <c:numCache>
                <c:formatCode>0%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</c:ser>
        <c:ser>
          <c:idx val="4"/>
          <c:order val="4"/>
          <c:tx>
            <c:strRef>
              <c:f>Consolida_Dimensões_Analítico!$G$1</c:f>
              <c:strCache>
                <c:ptCount val="1"/>
                <c:pt idx="0">
                  <c:v>Respostas Empreendimentos</c:v>
                </c:pt>
              </c:strCache>
            </c:strRef>
          </c:tx>
          <c:spPr>
            <a:solidFill>
              <a:srgbClr val="FF0000">
                <a:alpha val="30000"/>
              </a:srgbClr>
            </a:solidFill>
            <a:ln w="12700">
              <a:solidFill>
                <a:srgbClr val="FF0000"/>
              </a:solidFill>
            </a:ln>
          </c:spP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>
                    <a:solidFill>
                      <a:srgbClr val="FF0000"/>
                    </a:solidFill>
                  </a:defRPr>
                </a:pPr>
                <a:endParaRPr lang="pt-BR"/>
              </a:p>
            </c:txPr>
            <c:showVal val="1"/>
          </c:dLbls>
          <c:cat>
            <c:strRef>
              <c:f>Consolida_Dimensões_Analítico!$B$3:$B$44</c:f>
              <c:strCache>
                <c:ptCount val="42"/>
                <c:pt idx="0">
                  <c:v>1. Investimento no desenvolvimento e aplicação de conhecimentos.</c:v>
                </c:pt>
                <c:pt idx="1">
                  <c:v>2. Os empreendedores possuem formação prática em empreendedorismo.</c:v>
                </c:pt>
                <c:pt idx="2">
                  <c:v>3. Os empreendedores praticam ações para desenvolvimento das caracteristicas empreendedoras.</c:v>
                </c:pt>
                <c:pt idx="3">
                  <c:v>4. As funções e as responsabilidades dos empreendedores estão definidas.</c:v>
                </c:pt>
                <c:pt idx="4">
                  <c:v>5. Qualidade das decisões dos empreendedores.</c:v>
                </c:pt>
                <c:pt idx="5">
                  <c:v>6. Decisões estratégicas e decisões de rotina.</c:v>
                </c:pt>
                <c:pt idx="6">
                  <c:v>7. Decisões assertivas e no momento oportuno.</c:v>
                </c:pt>
                <c:pt idx="7">
                  <c:v>8. Alinhamento nas decisões estratégicas e de rotina.</c:v>
                </c:pt>
                <c:pt idx="8">
                  <c:v>9. Reconhecimento e incentivo entre os empreendedores são praticados à medida que os resultados esperados são alcançados (regra clara na partilha dos resultados positivos e negativos). [NÃO SE APLICA À MODALIDADE DE PRÉ-INCUBAÇÃO]</c:v>
                </c:pt>
                <c:pt idx="9">
                  <c:v>1. Modelo de negócio, proposta de valor e validações iniciais.</c:v>
                </c:pt>
                <c:pt idx="10">
                  <c:v>2. Validação do Tripé de Sustentação do Negócio.</c:v>
                </c:pt>
                <c:pt idx="11">
                  <c:v>3. Protótipo ou Produto Mínimo Viável e Fluxo do Processo.</c:v>
                </c:pt>
                <c:pt idx="12">
                  <c:v>4. Quanto a Análise de viabilidade (mercado, operacional, financeira, crescimento, produto/serviço) e Plano de Desenvolvimento do Produto/Serviço, necessários para o Planejamento do Negócio e do Produto, Serviço e/ou Tecnologia.</c:v>
                </c:pt>
                <c:pt idx="13">
                  <c:v>5. Os registros e licenças.</c:v>
                </c:pt>
                <c:pt idx="14">
                  <c:v>6. Propriedade Intelectual/Patente.</c:v>
                </c:pt>
                <c:pt idx="15">
                  <c:v>7. Informações comparativas na análise do desempenho e melhoria.</c:v>
                </c:pt>
                <c:pt idx="16">
                  <c:v>1. Recursos/investimentos financeiros necessários para o desenvolvimento do produto e/ou serviço ou operação (venda e distribuição).</c:v>
                </c:pt>
                <c:pt idx="17">
                  <c:v>2. Fontes de financiamento.</c:v>
                </c:pt>
                <c:pt idx="18">
                  <c:v>3. Projeções de receitas e de custos.</c:v>
                </c:pt>
                <c:pt idx="19">
                  <c:v>4. Alavancagem financeira.</c:v>
                </c:pt>
                <c:pt idx="20">
                  <c:v>5. Cultura de projetos e captação de recursos para desenvolvimento do produto e/ou serviço.</c:v>
                </c:pt>
                <c:pt idx="21">
                  <c:v>1. Segmentação de clientes e necessidades.</c:v>
                </c:pt>
                <c:pt idx="22">
                  <c:v>2. Dimensionamento de mercado e preço do produto/serviço.</c:v>
                </c:pt>
                <c:pt idx="23">
                  <c:v>3. Canais</c:v>
                </c:pt>
                <c:pt idx="24">
                  <c:v>4. Reclamações dos clientes. [NÃO SE APLICA À MODALIDADE DE PRÉ-INCUBAÇÃO]</c:v>
                </c:pt>
                <c:pt idx="25">
                  <c:v>5. Informações para fidelização, a captação de novos clientes e relacionamento. [NÃO SE APLICA À MODALIDADE DE PRÉ-INCUBAÇÃO]</c:v>
                </c:pt>
                <c:pt idx="26">
                  <c:v>6. Cadastro de clientes. [NÃO SE APLICA À MODALIDADE DE PRÉ-INCUBAÇÃO]</c:v>
                </c:pt>
                <c:pt idx="27">
                  <c:v>7. Prospecção.</c:v>
                </c:pt>
                <c:pt idx="28">
                  <c:v>8. Informações externas e oportunidades de inovação.</c:v>
                </c:pt>
                <c:pt idx="29">
                  <c:v>9. Estratégias de internacionalização.</c:v>
                </c:pt>
                <c:pt idx="30">
                  <c:v>10. Desempenho das vendas. [NÃO SE APLICA À MODALIDADE DE PRÉ-INCUBAÇÃO]</c:v>
                </c:pt>
                <c:pt idx="31">
                  <c:v>11. Pós-Venda. [NÃO SE APLICA À MODALIDADE DE PRÉ-INCUBAÇÃO]</c:v>
                </c:pt>
                <c:pt idx="32">
                  <c:v>12. Identidade visual. [NÃO SE APLICA À MODALIDADE DE PRÉ-INCUBAÇÃO]</c:v>
                </c:pt>
                <c:pt idx="33">
                  <c:v>1. Empreendimento legalmente constituído.</c:v>
                </c:pt>
                <c:pt idx="34">
                  <c:v>2. Impactos negativos causados pelo empreendimento são conhecidos e tratados.</c:v>
                </c:pt>
                <c:pt idx="35">
                  <c:v>3. Os perigos e os riscos relacionados à SST dos empreendedores são identificados e tratados.</c:v>
                </c:pt>
                <c:pt idx="36">
                  <c:v>4. Ideologia Missão, Visão, Valores.</c:v>
                </c:pt>
                <c:pt idx="37">
                  <c:v>5. As principais diretrizes e os respectivos planos de ação.</c:v>
                </c:pt>
                <c:pt idx="38">
                  <c:v>6. Indicadores e metas para os planos de ação e para o empreendimento como um todo.</c:v>
                </c:pt>
                <c:pt idx="39">
                  <c:v>7. A jornada do cliente e os processos de suporte. [NÃO SE APLICA À MODALIDADE DE PRÉ-INCUBAÇÃO]</c:v>
                </c:pt>
                <c:pt idx="40">
                  <c:v>8. Os potenciais fornecedores requeridos pelo negócio são conhecidos.</c:v>
                </c:pt>
                <c:pt idx="41">
                  <c:v>9. Os principais fornecedores estão estabelecidos (vínculo formal) e, além disso, são avaliados.</c:v>
                </c:pt>
              </c:strCache>
            </c:strRef>
          </c:cat>
          <c:val>
            <c:numRef>
              <c:f>Consolida_Dimensões_Analítico!$H$3:$H$44</c:f>
              <c:numCache>
                <c:formatCode>0%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</c:ser>
        <c:axId val="97952896"/>
        <c:axId val="97954432"/>
      </c:radarChart>
      <c:catAx>
        <c:axId val="97952896"/>
        <c:scaling>
          <c:orientation val="minMax"/>
        </c:scaling>
        <c:axPos val="b"/>
        <c:majorGridlines/>
        <c:numFmt formatCode="General" sourceLinked="0"/>
        <c:tickLblPos val="nextTo"/>
        <c:txPr>
          <a:bodyPr rot="0"/>
          <a:lstStyle/>
          <a:p>
            <a:pPr>
              <a:defRPr b="1"/>
            </a:pPr>
            <a:endParaRPr lang="pt-BR"/>
          </a:p>
        </c:txPr>
        <c:crossAx val="97954432"/>
        <c:crosses val="autoZero"/>
        <c:lblAlgn val="ctr"/>
        <c:lblOffset val="100"/>
      </c:catAx>
      <c:valAx>
        <c:axId val="97954432"/>
        <c:scaling>
          <c:orientation val="minMax"/>
        </c:scaling>
        <c:axPos val="l"/>
        <c:majorGridlines/>
        <c:numFmt formatCode="0%" sourceLinked="1"/>
        <c:majorTickMark val="cross"/>
        <c:tickLblPos val="nextTo"/>
        <c:crossAx val="97952896"/>
        <c:crosses val="autoZero"/>
        <c:crossBetween val="between"/>
        <c:majorUnit val="1"/>
      </c:valAx>
    </c:plotArea>
    <c:legend>
      <c:legendPos val="r"/>
      <c:legendEntry>
        <c:idx val="4"/>
        <c:txPr>
          <a:bodyPr/>
          <a:lstStyle/>
          <a:p>
            <a:pPr>
              <a:defRPr sz="1400" b="1">
                <a:solidFill>
                  <a:srgbClr val="FF0000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0.22955541541145413"/>
          <c:y val="0.94534071755357574"/>
          <c:w val="0.53849874531936948"/>
          <c:h val="4.0452684806164221E-2"/>
        </c:manualLayout>
      </c:layout>
      <c:txPr>
        <a:bodyPr/>
        <a:lstStyle/>
        <a:p>
          <a:pPr>
            <a:defRPr sz="1400" b="1"/>
          </a:pPr>
          <a:endParaRPr lang="pt-BR"/>
        </a:p>
      </c:txPr>
    </c:legend>
    <c:plotVisOnly val="1"/>
    <c:dispBlanksAs val="gap"/>
  </c:chart>
  <c:printSettings>
    <c:headerFooter/>
    <c:pageMargins b="0.78740157499999996" l="0.511811024" r="0.511811024" t="0.78740157499999996" header="0.31496062000000374" footer="0.3149606200000037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77963</xdr:colOff>
      <xdr:row>2</xdr:row>
      <xdr:rowOff>9526</xdr:rowOff>
    </xdr:from>
    <xdr:to>
      <xdr:col>19</xdr:col>
      <xdr:colOff>19048</xdr:colOff>
      <xdr:row>12</xdr:row>
      <xdr:rowOff>0</xdr:rowOff>
    </xdr:to>
    <xdr:sp macro="" textlink="">
      <xdr:nvSpPr>
        <xdr:cNvPr id="11" name="CaixaDeTexto 10"/>
        <xdr:cNvSpPr txBox="1"/>
      </xdr:nvSpPr>
      <xdr:spPr>
        <a:xfrm>
          <a:off x="3125963" y="771526"/>
          <a:ext cx="8475485" cy="18954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</a:rPr>
            <a:t>2. Avaliar o perfil profissional dos empreendedores e a maturidade dos empreendimentos</a:t>
          </a:r>
        </a:p>
        <a:p>
          <a:pPr algn="ctr"/>
          <a:endParaRPr lang="pt-BR" sz="1100" b="1">
            <a:solidFill>
              <a:sysClr val="windowText" lastClr="000000"/>
            </a:solidFill>
          </a:endParaRPr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6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77963</xdr:colOff>
      <xdr:row>12</xdr:row>
      <xdr:rowOff>76201</xdr:rowOff>
    </xdr:from>
    <xdr:to>
      <xdr:col>15</xdr:col>
      <xdr:colOff>190500</xdr:colOff>
      <xdr:row>22</xdr:row>
      <xdr:rowOff>66675</xdr:rowOff>
    </xdr:to>
    <xdr:sp macro="" textlink="">
      <xdr:nvSpPr>
        <xdr:cNvPr id="12" name="CaixaDeTexto 11"/>
        <xdr:cNvSpPr txBox="1"/>
      </xdr:nvSpPr>
      <xdr:spPr>
        <a:xfrm>
          <a:off x="3125963" y="2743201"/>
          <a:ext cx="6208537" cy="18954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</a:rPr>
            <a:t>3. Avaliar os resultados</a:t>
          </a:r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</xdr:txBody>
    </xdr:sp>
    <xdr:clientData/>
  </xdr:twoCellAnchor>
  <xdr:twoCellAnchor>
    <xdr:from>
      <xdr:col>1</xdr:col>
      <xdr:colOff>390524</xdr:colOff>
      <xdr:row>2</xdr:row>
      <xdr:rowOff>9525</xdr:rowOff>
    </xdr:from>
    <xdr:to>
      <xdr:col>4</xdr:col>
      <xdr:colOff>569650</xdr:colOff>
      <xdr:row>22</xdr:row>
      <xdr:rowOff>66675</xdr:rowOff>
    </xdr:to>
    <xdr:sp macro="[0]!limparresposta" textlink="">
      <xdr:nvSpPr>
        <xdr:cNvPr id="15" name="CaixaDeTexto 14"/>
        <xdr:cNvSpPr txBox="1"/>
      </xdr:nvSpPr>
      <xdr:spPr>
        <a:xfrm>
          <a:off x="1000124" y="771525"/>
          <a:ext cx="2007926" cy="38671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</a:rPr>
            <a:t>1. Limpar respostas</a:t>
          </a:r>
        </a:p>
      </xdr:txBody>
    </xdr:sp>
    <xdr:clientData/>
  </xdr:twoCellAnchor>
  <xdr:twoCellAnchor>
    <xdr:from>
      <xdr:col>1</xdr:col>
      <xdr:colOff>390524</xdr:colOff>
      <xdr:row>22</xdr:row>
      <xdr:rowOff>142875</xdr:rowOff>
    </xdr:from>
    <xdr:to>
      <xdr:col>19</xdr:col>
      <xdr:colOff>23813</xdr:colOff>
      <xdr:row>25</xdr:row>
      <xdr:rowOff>142875</xdr:rowOff>
    </xdr:to>
    <xdr:sp macro="[0]!ENTREGAS" textlink="">
      <xdr:nvSpPr>
        <xdr:cNvPr id="17" name="CaixaDeTexto 16"/>
        <xdr:cNvSpPr txBox="1"/>
      </xdr:nvSpPr>
      <xdr:spPr>
        <a:xfrm>
          <a:off x="1000124" y="4714875"/>
          <a:ext cx="10606089" cy="5715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</a:rPr>
            <a:t>5. AVALIAÇÃO FINAL + ENTREGAS</a:t>
          </a:r>
        </a:p>
      </xdr:txBody>
    </xdr:sp>
    <xdr:clientData/>
  </xdr:twoCellAnchor>
  <xdr:twoCellAnchor>
    <xdr:from>
      <xdr:col>15</xdr:col>
      <xdr:colOff>257175</xdr:colOff>
      <xdr:row>12</xdr:row>
      <xdr:rowOff>76201</xdr:rowOff>
    </xdr:from>
    <xdr:to>
      <xdr:col>19</xdr:col>
      <xdr:colOff>19050</xdr:colOff>
      <xdr:row>22</xdr:row>
      <xdr:rowOff>66675</xdr:rowOff>
    </xdr:to>
    <xdr:sp macro="" textlink="">
      <xdr:nvSpPr>
        <xdr:cNvPr id="25" name="CaixaDeTexto 24"/>
        <xdr:cNvSpPr txBox="1"/>
      </xdr:nvSpPr>
      <xdr:spPr>
        <a:xfrm>
          <a:off x="9401175" y="2743201"/>
          <a:ext cx="2200275" cy="18954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</a:rPr>
            <a:t>4. Salvar o diagnóstico</a:t>
          </a:r>
        </a:p>
        <a:p>
          <a:pPr algn="ctr"/>
          <a:endParaRPr lang="pt-BR" sz="1100" b="1"/>
        </a:p>
        <a:p>
          <a:pPr algn="ctr"/>
          <a:endParaRPr lang="pt-BR" sz="1100" b="1">
            <a:solidFill>
              <a:sysClr val="windowText" lastClr="000000"/>
            </a:solidFill>
          </a:endParaRPr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  <a:p>
          <a:pPr algn="ctr"/>
          <a:endParaRPr lang="pt-BR" sz="1100" b="1"/>
        </a:p>
      </xdr:txBody>
    </xdr:sp>
    <xdr:clientData/>
  </xdr:twoCellAnchor>
  <xdr:twoCellAnchor>
    <xdr:from>
      <xdr:col>16</xdr:col>
      <xdr:colOff>180974</xdr:colOff>
      <xdr:row>14</xdr:row>
      <xdr:rowOff>142874</xdr:rowOff>
    </xdr:from>
    <xdr:to>
      <xdr:col>18</xdr:col>
      <xdr:colOff>113774</xdr:colOff>
      <xdr:row>20</xdr:row>
      <xdr:rowOff>151874</xdr:rowOff>
    </xdr:to>
    <xdr:sp macro="[0]!salvardiagnostico" textlink="">
      <xdr:nvSpPr>
        <xdr:cNvPr id="26" name="Elipse 25"/>
        <xdr:cNvSpPr>
          <a:spLocks noChangeAspect="1"/>
        </xdr:cNvSpPr>
      </xdr:nvSpPr>
      <xdr:spPr>
        <a:xfrm>
          <a:off x="9934574" y="3190874"/>
          <a:ext cx="1152000" cy="1152000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16</xdr:col>
      <xdr:colOff>333375</xdr:colOff>
      <xdr:row>16</xdr:row>
      <xdr:rowOff>152400</xdr:rowOff>
    </xdr:from>
    <xdr:to>
      <xdr:col>17</xdr:col>
      <xdr:colOff>590550</xdr:colOff>
      <xdr:row>18</xdr:row>
      <xdr:rowOff>123825</xdr:rowOff>
    </xdr:to>
    <xdr:sp macro="[0]!salvardiagnostico" textlink="">
      <xdr:nvSpPr>
        <xdr:cNvPr id="28" name="CaixaDeTexto 27"/>
        <xdr:cNvSpPr txBox="1"/>
      </xdr:nvSpPr>
      <xdr:spPr>
        <a:xfrm>
          <a:off x="10086975" y="3581400"/>
          <a:ext cx="866775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Salvar!!!</a:t>
          </a:r>
        </a:p>
      </xdr:txBody>
    </xdr:sp>
    <xdr:clientData/>
  </xdr:twoCellAnchor>
  <xdr:twoCellAnchor editAs="oneCell">
    <xdr:from>
      <xdr:col>2</xdr:col>
      <xdr:colOff>228600</xdr:colOff>
      <xdr:row>2</xdr:row>
      <xdr:rowOff>123825</xdr:rowOff>
    </xdr:from>
    <xdr:to>
      <xdr:col>4</xdr:col>
      <xdr:colOff>295275</xdr:colOff>
      <xdr:row>4</xdr:row>
      <xdr:rowOff>152400</xdr:rowOff>
    </xdr:to>
    <xdr:pic>
      <xdr:nvPicPr>
        <xdr:cNvPr id="70664" name="Imagem 26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3900" y="419100"/>
          <a:ext cx="183832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210299</xdr:colOff>
      <xdr:row>7</xdr:row>
      <xdr:rowOff>140635</xdr:rowOff>
    </xdr:from>
    <xdr:to>
      <xdr:col>7</xdr:col>
      <xdr:colOff>592760</xdr:colOff>
      <xdr:row>10</xdr:row>
      <xdr:rowOff>140635</xdr:rowOff>
    </xdr:to>
    <xdr:sp macro="[0]!ireixoempreendedor" textlink="">
      <xdr:nvSpPr>
        <xdr:cNvPr id="7" name="CaixaDeTexto 6"/>
        <xdr:cNvSpPr txBox="1"/>
      </xdr:nvSpPr>
      <xdr:spPr>
        <a:xfrm>
          <a:off x="3258299" y="1855135"/>
          <a:ext cx="1601661" cy="571500"/>
        </a:xfrm>
        <a:prstGeom prst="rect">
          <a:avLst/>
        </a:prstGeom>
        <a:solidFill>
          <a:schemeClr val="tx2"/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100" b="1"/>
            <a:t>Eixo:</a:t>
          </a:r>
          <a:r>
            <a:rPr lang="pt-BR" sz="1100" b="1" baseline="0"/>
            <a:t>  Empreendedor</a:t>
          </a:r>
          <a:endParaRPr lang="pt-BR" sz="1100" b="1"/>
        </a:p>
      </xdr:txBody>
    </xdr:sp>
    <xdr:clientData/>
  </xdr:twoCellAnchor>
  <xdr:twoCellAnchor>
    <xdr:from>
      <xdr:col>8</xdr:col>
      <xdr:colOff>35940</xdr:colOff>
      <xdr:row>7</xdr:row>
      <xdr:rowOff>140635</xdr:rowOff>
    </xdr:from>
    <xdr:to>
      <xdr:col>10</xdr:col>
      <xdr:colOff>421976</xdr:colOff>
      <xdr:row>10</xdr:row>
      <xdr:rowOff>140635</xdr:rowOff>
    </xdr:to>
    <xdr:sp macro="[0]!ireixotecnologia" textlink="">
      <xdr:nvSpPr>
        <xdr:cNvPr id="8" name="CaixaDeTexto 7"/>
        <xdr:cNvSpPr txBox="1"/>
      </xdr:nvSpPr>
      <xdr:spPr>
        <a:xfrm>
          <a:off x="4912740" y="1855135"/>
          <a:ext cx="1605236" cy="571500"/>
        </a:xfrm>
        <a:prstGeom prst="rect">
          <a:avLst/>
        </a:prstGeom>
        <a:solidFill>
          <a:schemeClr val="tx2"/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100" b="1"/>
            <a:t>Eixo: </a:t>
          </a:r>
          <a:r>
            <a:rPr lang="pt-BR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Tecnologia</a:t>
          </a:r>
        </a:p>
      </xdr:txBody>
    </xdr:sp>
    <xdr:clientData/>
  </xdr:twoCellAnchor>
  <xdr:twoCellAnchor>
    <xdr:from>
      <xdr:col>10</xdr:col>
      <xdr:colOff>474756</xdr:colOff>
      <xdr:row>7</xdr:row>
      <xdr:rowOff>140635</xdr:rowOff>
    </xdr:from>
    <xdr:to>
      <xdr:col>13</xdr:col>
      <xdr:colOff>247617</xdr:colOff>
      <xdr:row>10</xdr:row>
      <xdr:rowOff>140635</xdr:rowOff>
    </xdr:to>
    <xdr:sp macro="[0]!ireixocapital" textlink="">
      <xdr:nvSpPr>
        <xdr:cNvPr id="9" name="CaixaDeTexto 8"/>
        <xdr:cNvSpPr txBox="1"/>
      </xdr:nvSpPr>
      <xdr:spPr>
        <a:xfrm>
          <a:off x="6570756" y="1855135"/>
          <a:ext cx="1601661" cy="571500"/>
        </a:xfrm>
        <a:prstGeom prst="rect">
          <a:avLst/>
        </a:prstGeom>
        <a:solidFill>
          <a:schemeClr val="tx2"/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100" b="1"/>
            <a:t>Eixo: Capital</a:t>
          </a:r>
        </a:p>
      </xdr:txBody>
    </xdr:sp>
    <xdr:clientData/>
  </xdr:twoCellAnchor>
  <xdr:twoCellAnchor>
    <xdr:from>
      <xdr:col>13</xdr:col>
      <xdr:colOff>285318</xdr:colOff>
      <xdr:row>7</xdr:row>
      <xdr:rowOff>140635</xdr:rowOff>
    </xdr:from>
    <xdr:to>
      <xdr:col>16</xdr:col>
      <xdr:colOff>58179</xdr:colOff>
      <xdr:row>10</xdr:row>
      <xdr:rowOff>140635</xdr:rowOff>
    </xdr:to>
    <xdr:sp macro="[0]!ireixomercado" textlink="">
      <xdr:nvSpPr>
        <xdr:cNvPr id="10" name="CaixaDeTexto 9"/>
        <xdr:cNvSpPr txBox="1"/>
      </xdr:nvSpPr>
      <xdr:spPr>
        <a:xfrm>
          <a:off x="8210118" y="1855135"/>
          <a:ext cx="1601661" cy="571500"/>
        </a:xfrm>
        <a:prstGeom prst="rect">
          <a:avLst/>
        </a:prstGeom>
        <a:solidFill>
          <a:schemeClr val="tx2"/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100" b="1"/>
            <a:t>Eixo: Mercado</a:t>
          </a:r>
        </a:p>
      </xdr:txBody>
    </xdr:sp>
    <xdr:clientData/>
  </xdr:twoCellAnchor>
  <xdr:twoCellAnchor>
    <xdr:from>
      <xdr:col>16</xdr:col>
      <xdr:colOff>112839</xdr:colOff>
      <xdr:row>7</xdr:row>
      <xdr:rowOff>140635</xdr:rowOff>
    </xdr:from>
    <xdr:to>
      <xdr:col>18</xdr:col>
      <xdr:colOff>495300</xdr:colOff>
      <xdr:row>10</xdr:row>
      <xdr:rowOff>140635</xdr:rowOff>
    </xdr:to>
    <xdr:sp macro="[0]!ireixogestao" textlink="">
      <xdr:nvSpPr>
        <xdr:cNvPr id="30" name="CaixaDeTexto 29"/>
        <xdr:cNvSpPr txBox="1"/>
      </xdr:nvSpPr>
      <xdr:spPr>
        <a:xfrm>
          <a:off x="9866439" y="1855135"/>
          <a:ext cx="1601661" cy="571500"/>
        </a:xfrm>
        <a:prstGeom prst="rect">
          <a:avLst/>
        </a:prstGeom>
        <a:solidFill>
          <a:schemeClr val="tx2"/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100" b="1"/>
            <a:t>Eixo: Gestão</a:t>
          </a:r>
        </a:p>
      </xdr:txBody>
    </xdr:sp>
    <xdr:clientData/>
  </xdr:twoCellAnchor>
  <xdr:twoCellAnchor>
    <xdr:from>
      <xdr:col>5</xdr:col>
      <xdr:colOff>219751</xdr:colOff>
      <xdr:row>14</xdr:row>
      <xdr:rowOff>121585</xdr:rowOff>
    </xdr:from>
    <xdr:to>
      <xdr:col>8</xdr:col>
      <xdr:colOff>334827</xdr:colOff>
      <xdr:row>20</xdr:row>
      <xdr:rowOff>159685</xdr:rowOff>
    </xdr:to>
    <xdr:sp macro="[0]!irgrafico1" textlink="">
      <xdr:nvSpPr>
        <xdr:cNvPr id="13" name="CaixaDeTexto 12"/>
        <xdr:cNvSpPr txBox="1"/>
      </xdr:nvSpPr>
      <xdr:spPr>
        <a:xfrm>
          <a:off x="3267751" y="3169585"/>
          <a:ext cx="1943876" cy="11811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100" b="1"/>
            <a:t>Perfil Profissional dos Empreendedores</a:t>
          </a:r>
        </a:p>
      </xdr:txBody>
    </xdr:sp>
    <xdr:clientData/>
  </xdr:twoCellAnchor>
  <xdr:twoCellAnchor>
    <xdr:from>
      <xdr:col>8</xdr:col>
      <xdr:colOff>377206</xdr:colOff>
      <xdr:row>14</xdr:row>
      <xdr:rowOff>121585</xdr:rowOff>
    </xdr:from>
    <xdr:to>
      <xdr:col>11</xdr:col>
      <xdr:colOff>490140</xdr:colOff>
      <xdr:row>20</xdr:row>
      <xdr:rowOff>159685</xdr:rowOff>
    </xdr:to>
    <xdr:sp macro="[0]!irgrafico2" textlink="">
      <xdr:nvSpPr>
        <xdr:cNvPr id="14" name="CaixaDeTexto 13"/>
        <xdr:cNvSpPr txBox="1"/>
      </xdr:nvSpPr>
      <xdr:spPr>
        <a:xfrm>
          <a:off x="5254006" y="3169585"/>
          <a:ext cx="1941734" cy="11811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100" b="1"/>
            <a:t>Maturidade do Empreendimento</a:t>
          </a:r>
        </a:p>
        <a:p>
          <a:pPr algn="ctr"/>
          <a:endParaRPr lang="pt-BR" sz="1100" b="1" baseline="0"/>
        </a:p>
        <a:p>
          <a:pPr algn="ctr"/>
          <a:r>
            <a:rPr lang="pt-BR" sz="1100" b="1" baseline="0"/>
            <a:t>Sintético</a:t>
          </a:r>
          <a:endParaRPr lang="pt-BR" sz="1100" b="1"/>
        </a:p>
      </xdr:txBody>
    </xdr:sp>
    <xdr:clientData/>
  </xdr:twoCellAnchor>
  <xdr:twoCellAnchor>
    <xdr:from>
      <xdr:col>11</xdr:col>
      <xdr:colOff>534766</xdr:colOff>
      <xdr:row>14</xdr:row>
      <xdr:rowOff>121585</xdr:rowOff>
    </xdr:from>
    <xdr:to>
      <xdr:col>15</xdr:col>
      <xdr:colOff>38100</xdr:colOff>
      <xdr:row>20</xdr:row>
      <xdr:rowOff>159685</xdr:rowOff>
    </xdr:to>
    <xdr:sp macro="[0]!irgrafico3" textlink="">
      <xdr:nvSpPr>
        <xdr:cNvPr id="32" name="CaixaDeTexto 31"/>
        <xdr:cNvSpPr txBox="1"/>
      </xdr:nvSpPr>
      <xdr:spPr>
        <a:xfrm>
          <a:off x="7240366" y="3169585"/>
          <a:ext cx="1941734" cy="11811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100" b="1"/>
            <a:t>Maturidade do Empreendimento</a:t>
          </a:r>
        </a:p>
        <a:p>
          <a:pPr algn="ctr"/>
          <a:endParaRPr lang="pt-BR" sz="1100" b="1"/>
        </a:p>
        <a:p>
          <a:pPr algn="ctr"/>
          <a:r>
            <a:rPr lang="pt-BR" sz="1100" b="1"/>
            <a:t>Analítico</a:t>
          </a:r>
        </a:p>
      </xdr:txBody>
    </xdr:sp>
    <xdr:clientData/>
  </xdr:twoCellAnchor>
  <xdr:twoCellAnchor>
    <xdr:from>
      <xdr:col>5</xdr:col>
      <xdr:colOff>210300</xdr:colOff>
      <xdr:row>4</xdr:row>
      <xdr:rowOff>93010</xdr:rowOff>
    </xdr:from>
    <xdr:to>
      <xdr:col>8</xdr:col>
      <xdr:colOff>380204</xdr:colOff>
      <xdr:row>7</xdr:row>
      <xdr:rowOff>93010</xdr:rowOff>
    </xdr:to>
    <xdr:sp macro="[0]!irperfilprofissional1" textlink="">
      <xdr:nvSpPr>
        <xdr:cNvPr id="3" name="CaixaDeTexto 2"/>
        <xdr:cNvSpPr txBox="1"/>
      </xdr:nvSpPr>
      <xdr:spPr>
        <a:xfrm>
          <a:off x="3258300" y="1236010"/>
          <a:ext cx="1998704" cy="5715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Perfil</a:t>
          </a:r>
          <a:r>
            <a:rPr lang="pt-BR" sz="1100" b="1" baseline="0">
              <a:solidFill>
                <a:sysClr val="windowText" lastClr="000000"/>
              </a:solidFill>
            </a:rPr>
            <a:t> Profissional</a:t>
          </a:r>
        </a:p>
      </xdr:txBody>
    </xdr:sp>
    <xdr:clientData/>
  </xdr:twoCellAnchor>
  <xdr:twoCellAnchor>
    <xdr:from>
      <xdr:col>8</xdr:col>
      <xdr:colOff>446067</xdr:colOff>
      <xdr:row>4</xdr:row>
      <xdr:rowOff>93010</xdr:rowOff>
    </xdr:from>
    <xdr:to>
      <xdr:col>12</xdr:col>
      <xdr:colOff>10833</xdr:colOff>
      <xdr:row>7</xdr:row>
      <xdr:rowOff>93010</xdr:rowOff>
    </xdr:to>
    <xdr:sp macro="[0]!irperfilprofissional2" textlink="">
      <xdr:nvSpPr>
        <xdr:cNvPr id="4" name="CaixaDeTexto 3"/>
        <xdr:cNvSpPr txBox="1"/>
      </xdr:nvSpPr>
      <xdr:spPr>
        <a:xfrm>
          <a:off x="5322867" y="1236010"/>
          <a:ext cx="2003166" cy="5715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marL="0" indent="0" algn="ctr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Perfil Profissional</a:t>
          </a:r>
        </a:p>
      </xdr:txBody>
    </xdr:sp>
    <xdr:clientData/>
  </xdr:twoCellAnchor>
  <xdr:twoCellAnchor>
    <xdr:from>
      <xdr:col>12</xdr:col>
      <xdr:colOff>76697</xdr:colOff>
      <xdr:row>4</xdr:row>
      <xdr:rowOff>93010</xdr:rowOff>
    </xdr:from>
    <xdr:to>
      <xdr:col>15</xdr:col>
      <xdr:colOff>246601</xdr:colOff>
      <xdr:row>7</xdr:row>
      <xdr:rowOff>93010</xdr:rowOff>
    </xdr:to>
    <xdr:sp macro="[0]!irperfilprofissional3" textlink="">
      <xdr:nvSpPr>
        <xdr:cNvPr id="5" name="CaixaDeTexto 4"/>
        <xdr:cNvSpPr txBox="1"/>
      </xdr:nvSpPr>
      <xdr:spPr>
        <a:xfrm>
          <a:off x="7391897" y="1236010"/>
          <a:ext cx="1998704" cy="5715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marL="0" indent="0" algn="ctr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Perfil Profissional</a:t>
          </a:r>
        </a:p>
        <a:p>
          <a:pPr marL="0" indent="0" algn="ctr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Empreendedor 3</a:t>
          </a:r>
        </a:p>
      </xdr:txBody>
    </xdr:sp>
    <xdr:clientData/>
  </xdr:twoCellAnchor>
  <xdr:twoCellAnchor>
    <xdr:from>
      <xdr:col>15</xdr:col>
      <xdr:colOff>315872</xdr:colOff>
      <xdr:row>4</xdr:row>
      <xdr:rowOff>93010</xdr:rowOff>
    </xdr:from>
    <xdr:to>
      <xdr:col>18</xdr:col>
      <xdr:colOff>485776</xdr:colOff>
      <xdr:row>7</xdr:row>
      <xdr:rowOff>93010</xdr:rowOff>
    </xdr:to>
    <xdr:sp macro="[0]!irperfilprofissional4" textlink="">
      <xdr:nvSpPr>
        <xdr:cNvPr id="23" name="CaixaDeTexto 22"/>
        <xdr:cNvSpPr txBox="1"/>
      </xdr:nvSpPr>
      <xdr:spPr>
        <a:xfrm>
          <a:off x="9459872" y="1236010"/>
          <a:ext cx="1998704" cy="57150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marL="0" indent="0" algn="ctr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Perfil Profissional</a:t>
          </a:r>
        </a:p>
        <a:p>
          <a:pPr marL="0" indent="0" algn="ctr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Empreendedor 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0</xdr:row>
      <xdr:rowOff>76200</xdr:rowOff>
    </xdr:from>
    <xdr:to>
      <xdr:col>21</xdr:col>
      <xdr:colOff>0</xdr:colOff>
      <xdr:row>1</xdr:row>
      <xdr:rowOff>161925</xdr:rowOff>
    </xdr:to>
    <xdr:sp macro="[0]!irparamenu" textlink="">
      <xdr:nvSpPr>
        <xdr:cNvPr id="8" name="CaixaDeTexto 7"/>
        <xdr:cNvSpPr txBox="1"/>
      </xdr:nvSpPr>
      <xdr:spPr>
        <a:xfrm>
          <a:off x="11391900" y="76200"/>
          <a:ext cx="914400" cy="3333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>
    <xdr:from>
      <xdr:col>17</xdr:col>
      <xdr:colOff>371475</xdr:colOff>
      <xdr:row>116</xdr:row>
      <xdr:rowOff>66675</xdr:rowOff>
    </xdr:from>
    <xdr:to>
      <xdr:col>20</xdr:col>
      <xdr:colOff>572328</xdr:colOff>
      <xdr:row>119</xdr:row>
      <xdr:rowOff>74130</xdr:rowOff>
    </xdr:to>
    <xdr:sp macro="[0]!irparamenu" textlink="">
      <xdr:nvSpPr>
        <xdr:cNvPr id="10" name="CaixaDeTexto 9"/>
        <xdr:cNvSpPr txBox="1"/>
      </xdr:nvSpPr>
      <xdr:spPr>
        <a:xfrm>
          <a:off x="10239375" y="23326725"/>
          <a:ext cx="2029653" cy="57895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1</xdr:col>
      <xdr:colOff>47625</xdr:colOff>
      <xdr:row>0</xdr:row>
      <xdr:rowOff>47625</xdr:rowOff>
    </xdr:from>
    <xdr:to>
      <xdr:col>4</xdr:col>
      <xdr:colOff>180975</xdr:colOff>
      <xdr:row>1</xdr:row>
      <xdr:rowOff>200025</xdr:rowOff>
    </xdr:to>
    <xdr:pic>
      <xdr:nvPicPr>
        <xdr:cNvPr id="1582" name="Imagem 10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47625"/>
          <a:ext cx="1962150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0</xdr:row>
      <xdr:rowOff>76200</xdr:rowOff>
    </xdr:from>
    <xdr:to>
      <xdr:col>21</xdr:col>
      <xdr:colOff>0</xdr:colOff>
      <xdr:row>1</xdr:row>
      <xdr:rowOff>161925</xdr:rowOff>
    </xdr:to>
    <xdr:sp macro="[0]!irparamenu" textlink="">
      <xdr:nvSpPr>
        <xdr:cNvPr id="2" name="CaixaDeTexto 1"/>
        <xdr:cNvSpPr txBox="1"/>
      </xdr:nvSpPr>
      <xdr:spPr>
        <a:xfrm>
          <a:off x="11391900" y="76200"/>
          <a:ext cx="914400" cy="3714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>
    <xdr:from>
      <xdr:col>17</xdr:col>
      <xdr:colOff>371475</xdr:colOff>
      <xdr:row>116</xdr:row>
      <xdr:rowOff>66675</xdr:rowOff>
    </xdr:from>
    <xdr:to>
      <xdr:col>20</xdr:col>
      <xdr:colOff>572328</xdr:colOff>
      <xdr:row>119</xdr:row>
      <xdr:rowOff>74130</xdr:rowOff>
    </xdr:to>
    <xdr:sp macro="[0]!irparamenu" textlink="">
      <xdr:nvSpPr>
        <xdr:cNvPr id="4" name="CaixaDeTexto 3"/>
        <xdr:cNvSpPr txBox="1"/>
      </xdr:nvSpPr>
      <xdr:spPr>
        <a:xfrm>
          <a:off x="10239375" y="23326725"/>
          <a:ext cx="2029653" cy="57895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1</xdr:col>
      <xdr:colOff>47625</xdr:colOff>
      <xdr:row>0</xdr:row>
      <xdr:rowOff>47625</xdr:rowOff>
    </xdr:from>
    <xdr:to>
      <xdr:col>4</xdr:col>
      <xdr:colOff>180975</xdr:colOff>
      <xdr:row>1</xdr:row>
      <xdr:rowOff>200025</xdr:rowOff>
    </xdr:to>
    <xdr:pic>
      <xdr:nvPicPr>
        <xdr:cNvPr id="15543" name="Imagem 4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47625"/>
          <a:ext cx="1962150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0</xdr:row>
      <xdr:rowOff>76200</xdr:rowOff>
    </xdr:from>
    <xdr:to>
      <xdr:col>21</xdr:col>
      <xdr:colOff>0</xdr:colOff>
      <xdr:row>1</xdr:row>
      <xdr:rowOff>161925</xdr:rowOff>
    </xdr:to>
    <xdr:sp macro="[0]!irparamenu" textlink="">
      <xdr:nvSpPr>
        <xdr:cNvPr id="2" name="CaixaDeTexto 1"/>
        <xdr:cNvSpPr txBox="1"/>
      </xdr:nvSpPr>
      <xdr:spPr>
        <a:xfrm>
          <a:off x="11391900" y="76200"/>
          <a:ext cx="914400" cy="3714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>
    <xdr:from>
      <xdr:col>17</xdr:col>
      <xdr:colOff>371475</xdr:colOff>
      <xdr:row>116</xdr:row>
      <xdr:rowOff>66675</xdr:rowOff>
    </xdr:from>
    <xdr:to>
      <xdr:col>20</xdr:col>
      <xdr:colOff>572328</xdr:colOff>
      <xdr:row>119</xdr:row>
      <xdr:rowOff>74130</xdr:rowOff>
    </xdr:to>
    <xdr:sp macro="[0]!irparamenu" textlink="">
      <xdr:nvSpPr>
        <xdr:cNvPr id="4" name="CaixaDeTexto 3"/>
        <xdr:cNvSpPr txBox="1"/>
      </xdr:nvSpPr>
      <xdr:spPr>
        <a:xfrm>
          <a:off x="10239375" y="23326725"/>
          <a:ext cx="2029653" cy="57895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1</xdr:col>
      <xdr:colOff>47625</xdr:colOff>
      <xdr:row>0</xdr:row>
      <xdr:rowOff>47625</xdr:rowOff>
    </xdr:from>
    <xdr:to>
      <xdr:col>4</xdr:col>
      <xdr:colOff>180975</xdr:colOff>
      <xdr:row>1</xdr:row>
      <xdr:rowOff>200025</xdr:rowOff>
    </xdr:to>
    <xdr:pic>
      <xdr:nvPicPr>
        <xdr:cNvPr id="16567" name="Imagem 4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47625"/>
          <a:ext cx="1962150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0</xdr:row>
      <xdr:rowOff>76200</xdr:rowOff>
    </xdr:from>
    <xdr:to>
      <xdr:col>21</xdr:col>
      <xdr:colOff>0</xdr:colOff>
      <xdr:row>1</xdr:row>
      <xdr:rowOff>161925</xdr:rowOff>
    </xdr:to>
    <xdr:sp macro="[0]!irparamenu" textlink="">
      <xdr:nvSpPr>
        <xdr:cNvPr id="2" name="CaixaDeTexto 1"/>
        <xdr:cNvSpPr txBox="1"/>
      </xdr:nvSpPr>
      <xdr:spPr>
        <a:xfrm>
          <a:off x="11391900" y="76200"/>
          <a:ext cx="914400" cy="3714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>
    <xdr:from>
      <xdr:col>17</xdr:col>
      <xdr:colOff>371475</xdr:colOff>
      <xdr:row>116</xdr:row>
      <xdr:rowOff>66675</xdr:rowOff>
    </xdr:from>
    <xdr:to>
      <xdr:col>20</xdr:col>
      <xdr:colOff>572328</xdr:colOff>
      <xdr:row>119</xdr:row>
      <xdr:rowOff>74130</xdr:rowOff>
    </xdr:to>
    <xdr:sp macro="[0]!irparamenu" textlink="">
      <xdr:nvSpPr>
        <xdr:cNvPr id="3" name="CaixaDeTexto 2"/>
        <xdr:cNvSpPr txBox="1"/>
      </xdr:nvSpPr>
      <xdr:spPr>
        <a:xfrm>
          <a:off x="10239375" y="23326725"/>
          <a:ext cx="2029653" cy="57895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1</xdr:col>
      <xdr:colOff>47625</xdr:colOff>
      <xdr:row>0</xdr:row>
      <xdr:rowOff>47625</xdr:rowOff>
    </xdr:from>
    <xdr:to>
      <xdr:col>4</xdr:col>
      <xdr:colOff>180975</xdr:colOff>
      <xdr:row>1</xdr:row>
      <xdr:rowOff>200025</xdr:rowOff>
    </xdr:to>
    <xdr:pic>
      <xdr:nvPicPr>
        <xdr:cNvPr id="57527" name="Imagem 3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47625"/>
          <a:ext cx="1962150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257175</xdr:colOff>
      <xdr:row>1</xdr:row>
      <xdr:rowOff>57150</xdr:rowOff>
    </xdr:from>
    <xdr:to>
      <xdr:col>37</xdr:col>
      <xdr:colOff>152400</xdr:colOff>
      <xdr:row>60</xdr:row>
      <xdr:rowOff>47625</xdr:rowOff>
    </xdr:to>
    <xdr:graphicFrame macro="">
      <xdr:nvGraphicFramePr>
        <xdr:cNvPr id="71681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69272</xdr:colOff>
      <xdr:row>1</xdr:row>
      <xdr:rowOff>153266</xdr:rowOff>
    </xdr:from>
    <xdr:to>
      <xdr:col>37</xdr:col>
      <xdr:colOff>174913</xdr:colOff>
      <xdr:row>6</xdr:row>
      <xdr:rowOff>86592</xdr:rowOff>
    </xdr:to>
    <xdr:sp macro="[0]!irparamenu" textlink="">
      <xdr:nvSpPr>
        <xdr:cNvPr id="3" name="CaixaDeTexto 2"/>
        <xdr:cNvSpPr txBox="1"/>
      </xdr:nvSpPr>
      <xdr:spPr>
        <a:xfrm>
          <a:off x="20677908" y="343766"/>
          <a:ext cx="1924050" cy="88582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0</xdr:col>
      <xdr:colOff>371475</xdr:colOff>
      <xdr:row>1</xdr:row>
      <xdr:rowOff>161925</xdr:rowOff>
    </xdr:from>
    <xdr:to>
      <xdr:col>6</xdr:col>
      <xdr:colOff>447675</xdr:colOff>
      <xdr:row>6</xdr:row>
      <xdr:rowOff>47625</xdr:rowOff>
    </xdr:to>
    <xdr:pic>
      <xdr:nvPicPr>
        <xdr:cNvPr id="71683" name="Imagem 3" descr="logomarca-proin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71475" y="352425"/>
          <a:ext cx="3733800" cy="838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0</xdr:row>
      <xdr:rowOff>76200</xdr:rowOff>
    </xdr:from>
    <xdr:to>
      <xdr:col>21</xdr:col>
      <xdr:colOff>0</xdr:colOff>
      <xdr:row>1</xdr:row>
      <xdr:rowOff>161925</xdr:rowOff>
    </xdr:to>
    <xdr:sp macro="[0]!irparamenu" textlink="">
      <xdr:nvSpPr>
        <xdr:cNvPr id="2" name="CaixaDeTexto 1"/>
        <xdr:cNvSpPr txBox="1"/>
      </xdr:nvSpPr>
      <xdr:spPr>
        <a:xfrm>
          <a:off x="11391900" y="76200"/>
          <a:ext cx="914400" cy="3714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>
    <xdr:from>
      <xdr:col>17</xdr:col>
      <xdr:colOff>409575</xdr:colOff>
      <xdr:row>114</xdr:row>
      <xdr:rowOff>76200</xdr:rowOff>
    </xdr:from>
    <xdr:to>
      <xdr:col>21</xdr:col>
      <xdr:colOff>828</xdr:colOff>
      <xdr:row>117</xdr:row>
      <xdr:rowOff>83655</xdr:rowOff>
    </xdr:to>
    <xdr:sp macro="[0]!irparamenu" textlink="">
      <xdr:nvSpPr>
        <xdr:cNvPr id="4" name="CaixaDeTexto 3"/>
        <xdr:cNvSpPr txBox="1"/>
      </xdr:nvSpPr>
      <xdr:spPr>
        <a:xfrm>
          <a:off x="10277475" y="22955250"/>
          <a:ext cx="2029653" cy="57895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1</xdr:col>
      <xdr:colOff>47625</xdr:colOff>
      <xdr:row>0</xdr:row>
      <xdr:rowOff>47625</xdr:rowOff>
    </xdr:from>
    <xdr:to>
      <xdr:col>4</xdr:col>
      <xdr:colOff>180975</xdr:colOff>
      <xdr:row>1</xdr:row>
      <xdr:rowOff>200025</xdr:rowOff>
    </xdr:to>
    <xdr:pic>
      <xdr:nvPicPr>
        <xdr:cNvPr id="33886" name="Imagem 4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47625"/>
          <a:ext cx="1962150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0</xdr:row>
      <xdr:rowOff>76200</xdr:rowOff>
    </xdr:from>
    <xdr:to>
      <xdr:col>21</xdr:col>
      <xdr:colOff>0</xdr:colOff>
      <xdr:row>1</xdr:row>
      <xdr:rowOff>161925</xdr:rowOff>
    </xdr:to>
    <xdr:sp macro="[0]!irparamenu" textlink="">
      <xdr:nvSpPr>
        <xdr:cNvPr id="2" name="CaixaDeTexto 1"/>
        <xdr:cNvSpPr txBox="1"/>
      </xdr:nvSpPr>
      <xdr:spPr>
        <a:xfrm>
          <a:off x="11391900" y="76200"/>
          <a:ext cx="914400" cy="3714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>
    <xdr:from>
      <xdr:col>17</xdr:col>
      <xdr:colOff>409575</xdr:colOff>
      <xdr:row>90</xdr:row>
      <xdr:rowOff>85725</xdr:rowOff>
    </xdr:from>
    <xdr:to>
      <xdr:col>21</xdr:col>
      <xdr:colOff>828</xdr:colOff>
      <xdr:row>93</xdr:row>
      <xdr:rowOff>93180</xdr:rowOff>
    </xdr:to>
    <xdr:sp macro="[0]!irparamenu" textlink="">
      <xdr:nvSpPr>
        <xdr:cNvPr id="4" name="CaixaDeTexto 3"/>
        <xdr:cNvSpPr txBox="1"/>
      </xdr:nvSpPr>
      <xdr:spPr>
        <a:xfrm>
          <a:off x="10277475" y="18392775"/>
          <a:ext cx="2029653" cy="57895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1</xdr:col>
      <xdr:colOff>47625</xdr:colOff>
      <xdr:row>0</xdr:row>
      <xdr:rowOff>47625</xdr:rowOff>
    </xdr:from>
    <xdr:to>
      <xdr:col>4</xdr:col>
      <xdr:colOff>180975</xdr:colOff>
      <xdr:row>1</xdr:row>
      <xdr:rowOff>200025</xdr:rowOff>
    </xdr:to>
    <xdr:pic>
      <xdr:nvPicPr>
        <xdr:cNvPr id="50274" name="Imagem 4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47625"/>
          <a:ext cx="1962150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0</xdr:row>
      <xdr:rowOff>76200</xdr:rowOff>
    </xdr:from>
    <xdr:to>
      <xdr:col>21</xdr:col>
      <xdr:colOff>0</xdr:colOff>
      <xdr:row>1</xdr:row>
      <xdr:rowOff>161925</xdr:rowOff>
    </xdr:to>
    <xdr:sp macro="[0]!irparamenu" textlink="">
      <xdr:nvSpPr>
        <xdr:cNvPr id="2" name="CaixaDeTexto 1"/>
        <xdr:cNvSpPr txBox="1"/>
      </xdr:nvSpPr>
      <xdr:spPr>
        <a:xfrm>
          <a:off x="11391900" y="76200"/>
          <a:ext cx="914400" cy="3714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>
    <xdr:from>
      <xdr:col>17</xdr:col>
      <xdr:colOff>409575</xdr:colOff>
      <xdr:row>66</xdr:row>
      <xdr:rowOff>76200</xdr:rowOff>
    </xdr:from>
    <xdr:to>
      <xdr:col>21</xdr:col>
      <xdr:colOff>828</xdr:colOff>
      <xdr:row>69</xdr:row>
      <xdr:rowOff>83655</xdr:rowOff>
    </xdr:to>
    <xdr:sp macro="[0]!irparamenu" textlink="">
      <xdr:nvSpPr>
        <xdr:cNvPr id="4" name="CaixaDeTexto 3"/>
        <xdr:cNvSpPr txBox="1"/>
      </xdr:nvSpPr>
      <xdr:spPr>
        <a:xfrm>
          <a:off x="10277475" y="13811250"/>
          <a:ext cx="2029653" cy="57895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1</xdr:col>
      <xdr:colOff>47625</xdr:colOff>
      <xdr:row>0</xdr:row>
      <xdr:rowOff>47625</xdr:rowOff>
    </xdr:from>
    <xdr:to>
      <xdr:col>4</xdr:col>
      <xdr:colOff>180975</xdr:colOff>
      <xdr:row>1</xdr:row>
      <xdr:rowOff>200025</xdr:rowOff>
    </xdr:to>
    <xdr:pic>
      <xdr:nvPicPr>
        <xdr:cNvPr id="51268" name="Imagem 4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47625"/>
          <a:ext cx="1962150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0</xdr:row>
      <xdr:rowOff>76200</xdr:rowOff>
    </xdr:from>
    <xdr:to>
      <xdr:col>21</xdr:col>
      <xdr:colOff>0</xdr:colOff>
      <xdr:row>1</xdr:row>
      <xdr:rowOff>161925</xdr:rowOff>
    </xdr:to>
    <xdr:sp macro="[0]!irparamenu" textlink="">
      <xdr:nvSpPr>
        <xdr:cNvPr id="2" name="CaixaDeTexto 1"/>
        <xdr:cNvSpPr txBox="1"/>
      </xdr:nvSpPr>
      <xdr:spPr>
        <a:xfrm>
          <a:off x="11391900" y="76200"/>
          <a:ext cx="914400" cy="3714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>
    <xdr:from>
      <xdr:col>17</xdr:col>
      <xdr:colOff>409575</xdr:colOff>
      <xdr:row>150</xdr:row>
      <xdr:rowOff>76200</xdr:rowOff>
    </xdr:from>
    <xdr:to>
      <xdr:col>21</xdr:col>
      <xdr:colOff>828</xdr:colOff>
      <xdr:row>153</xdr:row>
      <xdr:rowOff>0</xdr:rowOff>
    </xdr:to>
    <xdr:sp macro="[0]!irparamenu" textlink="">
      <xdr:nvSpPr>
        <xdr:cNvPr id="4" name="CaixaDeTexto 3"/>
        <xdr:cNvSpPr txBox="1"/>
      </xdr:nvSpPr>
      <xdr:spPr>
        <a:xfrm>
          <a:off x="10277475" y="29813250"/>
          <a:ext cx="2029653" cy="57895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1</xdr:col>
      <xdr:colOff>47625</xdr:colOff>
      <xdr:row>0</xdr:row>
      <xdr:rowOff>47625</xdr:rowOff>
    </xdr:from>
    <xdr:to>
      <xdr:col>4</xdr:col>
      <xdr:colOff>180975</xdr:colOff>
      <xdr:row>1</xdr:row>
      <xdr:rowOff>200025</xdr:rowOff>
    </xdr:to>
    <xdr:pic>
      <xdr:nvPicPr>
        <xdr:cNvPr id="42097" name="Imagem 4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47625"/>
          <a:ext cx="1962150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0</xdr:row>
      <xdr:rowOff>76200</xdr:rowOff>
    </xdr:from>
    <xdr:to>
      <xdr:col>21</xdr:col>
      <xdr:colOff>0</xdr:colOff>
      <xdr:row>1</xdr:row>
      <xdr:rowOff>161925</xdr:rowOff>
    </xdr:to>
    <xdr:sp macro="[0]!irparamenu" textlink="">
      <xdr:nvSpPr>
        <xdr:cNvPr id="2" name="CaixaDeTexto 1"/>
        <xdr:cNvSpPr txBox="1"/>
      </xdr:nvSpPr>
      <xdr:spPr>
        <a:xfrm>
          <a:off x="11391900" y="76200"/>
          <a:ext cx="914400" cy="3714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>
    <xdr:from>
      <xdr:col>17</xdr:col>
      <xdr:colOff>419100</xdr:colOff>
      <xdr:row>114</xdr:row>
      <xdr:rowOff>76200</xdr:rowOff>
    </xdr:from>
    <xdr:to>
      <xdr:col>21</xdr:col>
      <xdr:colOff>10353</xdr:colOff>
      <xdr:row>117</xdr:row>
      <xdr:rowOff>83655</xdr:rowOff>
    </xdr:to>
    <xdr:sp macro="[0]!irparamenu" textlink="">
      <xdr:nvSpPr>
        <xdr:cNvPr id="4" name="CaixaDeTexto 3"/>
        <xdr:cNvSpPr txBox="1"/>
      </xdr:nvSpPr>
      <xdr:spPr>
        <a:xfrm>
          <a:off x="10287000" y="22955250"/>
          <a:ext cx="2029653" cy="57895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1</xdr:col>
      <xdr:colOff>47625</xdr:colOff>
      <xdr:row>0</xdr:row>
      <xdr:rowOff>47625</xdr:rowOff>
    </xdr:from>
    <xdr:to>
      <xdr:col>4</xdr:col>
      <xdr:colOff>180975</xdr:colOff>
      <xdr:row>1</xdr:row>
      <xdr:rowOff>200025</xdr:rowOff>
    </xdr:to>
    <xdr:pic>
      <xdr:nvPicPr>
        <xdr:cNvPr id="25828" name="Imagem 4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47625"/>
          <a:ext cx="1962150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104775</xdr:colOff>
      <xdr:row>0</xdr:row>
      <xdr:rowOff>85725</xdr:rowOff>
    </xdr:from>
    <xdr:to>
      <xdr:col>19</xdr:col>
      <xdr:colOff>266700</xdr:colOff>
      <xdr:row>20</xdr:row>
      <xdr:rowOff>47625</xdr:rowOff>
    </xdr:to>
    <xdr:graphicFrame macro="">
      <xdr:nvGraphicFramePr>
        <xdr:cNvPr id="73729" name="Gráfico 2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531019</xdr:colOff>
      <xdr:row>20</xdr:row>
      <xdr:rowOff>140494</xdr:rowOff>
    </xdr:from>
    <xdr:to>
      <xdr:col>19</xdr:col>
      <xdr:colOff>226219</xdr:colOff>
      <xdr:row>22</xdr:row>
      <xdr:rowOff>92869</xdr:rowOff>
    </xdr:to>
    <xdr:sp macro="[0]!irparamenu" textlink="">
      <xdr:nvSpPr>
        <xdr:cNvPr id="4" name="CaixaDeTexto 3"/>
        <xdr:cNvSpPr txBox="1"/>
      </xdr:nvSpPr>
      <xdr:spPr>
        <a:xfrm>
          <a:off x="10853738" y="5295900"/>
          <a:ext cx="909637" cy="3333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Menu</a:t>
          </a:r>
        </a:p>
      </xdr:txBody>
    </xdr:sp>
    <xdr:clientData/>
  </xdr:twoCellAnchor>
  <xdr:twoCellAnchor editAs="oneCell">
    <xdr:from>
      <xdr:col>0</xdr:col>
      <xdr:colOff>304800</xdr:colOff>
      <xdr:row>1</xdr:row>
      <xdr:rowOff>95250</xdr:rowOff>
    </xdr:from>
    <xdr:to>
      <xdr:col>3</xdr:col>
      <xdr:colOff>438150</xdr:colOff>
      <xdr:row>3</xdr:row>
      <xdr:rowOff>152400</xdr:rowOff>
    </xdr:to>
    <xdr:pic>
      <xdr:nvPicPr>
        <xdr:cNvPr id="73731" name="Imagem 4" descr="logomarca-proin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04800" y="285750"/>
          <a:ext cx="1962150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428625</xdr:colOff>
      <xdr:row>0</xdr:row>
      <xdr:rowOff>85725</xdr:rowOff>
    </xdr:from>
    <xdr:to>
      <xdr:col>47</xdr:col>
      <xdr:colOff>142875</xdr:colOff>
      <xdr:row>103</xdr:row>
      <xdr:rowOff>161925</xdr:rowOff>
    </xdr:to>
    <xdr:graphicFrame macro="">
      <xdr:nvGraphicFramePr>
        <xdr:cNvPr id="75777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304800</xdr:colOff>
      <xdr:row>1</xdr:row>
      <xdr:rowOff>95250</xdr:rowOff>
    </xdr:from>
    <xdr:to>
      <xdr:col>2</xdr:col>
      <xdr:colOff>533400</xdr:colOff>
      <xdr:row>3</xdr:row>
      <xdr:rowOff>152400</xdr:rowOff>
    </xdr:to>
    <xdr:pic>
      <xdr:nvPicPr>
        <xdr:cNvPr id="75778" name="Imagem 2" descr="logomarca-proin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04800" y="285750"/>
          <a:ext cx="1952625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38100</xdr:rowOff>
    </xdr:from>
    <xdr:to>
      <xdr:col>3</xdr:col>
      <xdr:colOff>1209675</xdr:colOff>
      <xdr:row>2</xdr:row>
      <xdr:rowOff>38100</xdr:rowOff>
    </xdr:to>
    <xdr:pic>
      <xdr:nvPicPr>
        <xdr:cNvPr id="69733" name="Imagem 47" descr="logomarca-proin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38100"/>
          <a:ext cx="1962150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11</xdr:col>
      <xdr:colOff>381000</xdr:colOff>
      <xdr:row>25</xdr:row>
      <xdr:rowOff>123825</xdr:rowOff>
    </xdr:from>
    <xdr:to>
      <xdr:col>15</xdr:col>
      <xdr:colOff>0</xdr:colOff>
      <xdr:row>27</xdr:row>
      <xdr:rowOff>19050</xdr:rowOff>
    </xdr:to>
    <xdr:sp macro="[0]!Retângulo5_Clique" textlink="">
      <xdr:nvSpPr>
        <xdr:cNvPr id="6" name="Retângulo 5"/>
        <xdr:cNvSpPr/>
      </xdr:nvSpPr>
      <xdr:spPr>
        <a:xfrm>
          <a:off x="9210675" y="3619500"/>
          <a:ext cx="1162050" cy="27622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RETORNA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tabColor rgb="FF00B050"/>
  </sheetPr>
  <dimension ref="B1:W30"/>
  <sheetViews>
    <sheetView tabSelected="1" workbookViewId="0">
      <selection activeCell="U20" sqref="U20"/>
    </sheetView>
  </sheetViews>
  <sheetFormatPr defaultRowHeight="15"/>
  <cols>
    <col min="1" max="1" width="3" style="3" customWidth="1"/>
    <col min="2" max="2" width="4.42578125" style="3" customWidth="1"/>
    <col min="3" max="3" width="17.42578125" style="3" customWidth="1"/>
    <col min="4" max="17" width="9.140625" style="3"/>
    <col min="18" max="18" width="9.42578125" style="65" bestFit="1" customWidth="1"/>
    <col min="19" max="19" width="12.5703125" style="65" bestFit="1" customWidth="1"/>
    <col min="20" max="20" width="7" style="65" customWidth="1"/>
    <col min="21" max="21" width="12.5703125" style="65" bestFit="1" customWidth="1"/>
    <col min="22" max="22" width="12.42578125" style="65" bestFit="1" customWidth="1"/>
    <col min="23" max="16384" width="9.140625" style="3"/>
  </cols>
  <sheetData>
    <row r="1" spans="2:20" ht="11.25" customHeight="1"/>
    <row r="2" spans="2:20" ht="12" customHeight="1"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  <c r="S2" s="69"/>
      <c r="T2" s="69"/>
    </row>
    <row r="3" spans="2:20"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9"/>
      <c r="S3" s="69"/>
      <c r="T3" s="69"/>
    </row>
    <row r="4" spans="2:20"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9"/>
      <c r="S4" s="69"/>
      <c r="T4" s="69"/>
    </row>
    <row r="5" spans="2:20"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9"/>
      <c r="S5" s="69"/>
      <c r="T5" s="69"/>
    </row>
    <row r="6" spans="2:20"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9"/>
      <c r="S6" s="69"/>
      <c r="T6" s="69"/>
    </row>
    <row r="7" spans="2:20"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9"/>
      <c r="S7" s="69"/>
      <c r="T7" s="69"/>
    </row>
    <row r="8" spans="2:20"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9"/>
      <c r="S8" s="69"/>
      <c r="T8" s="69"/>
    </row>
    <row r="9" spans="2:20"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9"/>
      <c r="S9" s="69"/>
      <c r="T9" s="69"/>
    </row>
    <row r="10" spans="2:20"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9"/>
      <c r="S10" s="69"/>
      <c r="T10" s="69"/>
    </row>
    <row r="11" spans="2:20"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9"/>
      <c r="S11" s="69"/>
      <c r="T11" s="69"/>
    </row>
    <row r="12" spans="2:20"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9"/>
      <c r="S12" s="69"/>
      <c r="T12" s="69"/>
    </row>
    <row r="13" spans="2:20"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9"/>
      <c r="S13" s="69"/>
      <c r="T13" s="69"/>
    </row>
    <row r="14" spans="2:20"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9"/>
      <c r="S14" s="69"/>
      <c r="T14" s="69"/>
    </row>
    <row r="15" spans="2:20"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9"/>
      <c r="S15" s="69"/>
      <c r="T15" s="69"/>
    </row>
    <row r="16" spans="2:20"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9"/>
      <c r="S16" s="69"/>
      <c r="T16" s="69"/>
    </row>
    <row r="17" spans="2:23"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9"/>
      <c r="S17" s="69"/>
      <c r="T17" s="69"/>
    </row>
    <row r="18" spans="2:23" ht="9" customHeight="1"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9"/>
      <c r="S18" s="69"/>
      <c r="T18" s="69"/>
    </row>
    <row r="19" spans="2:23" ht="10.5" customHeight="1"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9"/>
      <c r="S19" s="69"/>
      <c r="T19" s="69"/>
    </row>
    <row r="20" spans="2:23"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9"/>
      <c r="S20" s="69"/>
      <c r="T20" s="69"/>
    </row>
    <row r="21" spans="2:23"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9"/>
      <c r="S21" s="69"/>
      <c r="T21" s="69"/>
    </row>
    <row r="22" spans="2:23" ht="11.25" customHeight="1"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9"/>
      <c r="S22" s="69"/>
      <c r="T22" s="69"/>
    </row>
    <row r="23" spans="2:23"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9"/>
      <c r="S23" s="69"/>
      <c r="T23" s="69"/>
    </row>
    <row r="24" spans="2:23"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9"/>
      <c r="S24" s="69"/>
      <c r="T24" s="69"/>
    </row>
    <row r="25" spans="2:23"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9"/>
      <c r="S25" s="69"/>
      <c r="T25" s="69"/>
    </row>
    <row r="26" spans="2:23"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9"/>
      <c r="S26" s="69"/>
      <c r="T26" s="69"/>
    </row>
    <row r="27" spans="2:23" ht="18.75" customHeight="1"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9"/>
      <c r="S27" s="69"/>
      <c r="T27" s="69"/>
    </row>
    <row r="28" spans="2:23">
      <c r="B28" s="68"/>
      <c r="C28" s="72"/>
      <c r="D28" s="70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83"/>
      <c r="S28" s="84"/>
      <c r="T28" s="84"/>
      <c r="U28" s="67"/>
      <c r="V28" s="66"/>
      <c r="W28" s="66"/>
    </row>
    <row r="29" spans="2:23">
      <c r="R29" s="66"/>
      <c r="S29" s="67"/>
      <c r="T29" s="67"/>
      <c r="U29" s="66"/>
      <c r="V29" s="66"/>
      <c r="W29" s="66"/>
    </row>
    <row r="30" spans="2:23">
      <c r="R30" s="66"/>
      <c r="S30" s="66"/>
      <c r="T30" s="66"/>
      <c r="U30" s="66"/>
      <c r="V30" s="66"/>
      <c r="W30" s="66"/>
    </row>
  </sheetData>
  <sheetProtection selectLockedCells="1" selectUnlockedCells="1"/>
  <phoneticPr fontId="0" type="noConversion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>
    <tabColor theme="9" tint="0.59999389629810485"/>
  </sheetPr>
  <dimension ref="B1:U6"/>
  <sheetViews>
    <sheetView workbookViewId="0"/>
  </sheetViews>
  <sheetFormatPr defaultRowHeight="15" customHeight="1"/>
  <cols>
    <col min="1" max="1" width="1.7109375" style="16" customWidth="1"/>
    <col min="2" max="21" width="9.140625" style="16"/>
    <col min="22" max="22" width="1.7109375" style="16" customWidth="1"/>
    <col min="23" max="16384" width="9.140625" style="16"/>
  </cols>
  <sheetData>
    <row r="1" spans="2:21" ht="22.5" customHeight="1"/>
    <row r="2" spans="2:21" ht="22.5" customHeight="1"/>
    <row r="3" spans="2:21" ht="61.5" customHeight="1">
      <c r="B3" s="105" t="s">
        <v>99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</row>
    <row r="5" spans="2:21" ht="30" customHeight="1">
      <c r="B5" s="104" t="s">
        <v>155</v>
      </c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</row>
    <row r="6" spans="2:21" ht="30" customHeight="1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</row>
  </sheetData>
  <mergeCells count="2">
    <mergeCell ref="B5:U6"/>
    <mergeCell ref="B3:U3"/>
  </mergeCells>
  <phoneticPr fontId="0" type="noConversion"/>
  <pageMargins left="0.511811024" right="0.511811024" top="0.78740157499999996" bottom="0.78740157499999996" header="0.31496062000000002" footer="0.31496062000000002"/>
  <pageSetup orientation="portrait" horizontalDpi="3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4">
    <tabColor theme="9" tint="0.59999389629810485"/>
  </sheetPr>
  <dimension ref="B1:U6"/>
  <sheetViews>
    <sheetView topLeftCell="A101" workbookViewId="0">
      <selection activeCell="P126" sqref="P126"/>
    </sheetView>
  </sheetViews>
  <sheetFormatPr defaultRowHeight="15" customHeight="1"/>
  <cols>
    <col min="1" max="1" width="1.7109375" style="16" customWidth="1"/>
    <col min="2" max="21" width="9.140625" style="16"/>
    <col min="22" max="22" width="1.7109375" style="16" customWidth="1"/>
    <col min="23" max="16384" width="9.140625" style="16"/>
  </cols>
  <sheetData>
    <row r="1" spans="2:21" ht="22.5" customHeight="1"/>
    <row r="2" spans="2:21" ht="22.5" customHeight="1"/>
    <row r="3" spans="2:21" ht="61.5" customHeight="1">
      <c r="B3" s="105" t="s">
        <v>43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</row>
    <row r="5" spans="2:21" ht="30" customHeight="1">
      <c r="B5" s="104" t="s">
        <v>155</v>
      </c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</row>
    <row r="6" spans="2:21" ht="30" customHeight="1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</row>
  </sheetData>
  <mergeCells count="2">
    <mergeCell ref="B3:U3"/>
    <mergeCell ref="B5:U6"/>
  </mergeCells>
  <phoneticPr fontId="0" type="noConversion"/>
  <pageMargins left="0.511811024" right="0.511811024" top="0.78740157499999996" bottom="0.78740157499999996" header="0.31496062000000002" footer="0.31496062000000002"/>
  <pageSetup orientation="portrait" horizontalDpi="3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5">
    <tabColor theme="9" tint="0.59999389629810485"/>
  </sheetPr>
  <dimension ref="B1:U6"/>
  <sheetViews>
    <sheetView topLeftCell="A88" workbookViewId="0">
      <selection activeCell="G48" sqref="G48"/>
    </sheetView>
  </sheetViews>
  <sheetFormatPr defaultRowHeight="15" customHeight="1"/>
  <cols>
    <col min="1" max="1" width="1.7109375" style="16" customWidth="1"/>
    <col min="2" max="21" width="9.140625" style="16"/>
    <col min="22" max="22" width="1.7109375" style="16" customWidth="1"/>
    <col min="23" max="16384" width="9.140625" style="16"/>
  </cols>
  <sheetData>
    <row r="1" spans="2:21" ht="22.5" customHeight="1"/>
    <row r="2" spans="2:21" ht="22.5" customHeight="1"/>
    <row r="3" spans="2:21" ht="61.5" customHeight="1">
      <c r="B3" s="105" t="s">
        <v>42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</row>
    <row r="5" spans="2:21" ht="30" customHeight="1">
      <c r="B5" s="104" t="s">
        <v>155</v>
      </c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</row>
    <row r="6" spans="2:21" ht="30" customHeight="1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</row>
  </sheetData>
  <mergeCells count="2">
    <mergeCell ref="B3:U3"/>
    <mergeCell ref="B5:U6"/>
  </mergeCells>
  <phoneticPr fontId="0" type="noConversion"/>
  <pageMargins left="0.511811024" right="0.511811024" top="0.78740157499999996" bottom="0.78740157499999996" header="0.31496062000000002" footer="0.31496062000000002"/>
  <pageSetup orientation="portrait" horizontalDpi="300" verticalDpi="12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24">
    <tabColor theme="9" tint="0.59999389629810485"/>
  </sheetPr>
  <dimension ref="B1:U6"/>
  <sheetViews>
    <sheetView topLeftCell="A75" workbookViewId="0">
      <selection activeCell="B16" sqref="B16:U18"/>
    </sheetView>
  </sheetViews>
  <sheetFormatPr defaultRowHeight="15" customHeight="1"/>
  <cols>
    <col min="1" max="1" width="1.7109375" style="16" customWidth="1"/>
    <col min="2" max="21" width="9.140625" style="16"/>
    <col min="22" max="22" width="1.7109375" style="16" customWidth="1"/>
    <col min="23" max="16384" width="9.140625" style="16"/>
  </cols>
  <sheetData>
    <row r="1" spans="2:21" ht="22.5" customHeight="1"/>
    <row r="2" spans="2:21" ht="22.5" customHeight="1"/>
    <row r="3" spans="2:21" ht="61.5" customHeight="1">
      <c r="B3" s="105" t="s">
        <v>63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</row>
    <row r="5" spans="2:21" ht="30" customHeight="1">
      <c r="B5" s="104" t="s">
        <v>155</v>
      </c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</row>
    <row r="6" spans="2:21" ht="30" customHeight="1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</row>
  </sheetData>
  <mergeCells count="2">
    <mergeCell ref="B3:U3"/>
    <mergeCell ref="B5:U6"/>
  </mergeCells>
  <phoneticPr fontId="0" type="noConversion"/>
  <pageMargins left="0.511811024" right="0.511811024" top="0.78740157499999996" bottom="0.78740157499999996" header="0.31496062000000002" footer="0.31496062000000002"/>
  <pageSetup orientation="portrait" horizontalDpi="3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2">
    <tabColor theme="9" tint="-0.249977111117893"/>
  </sheetPr>
  <dimension ref="A1:V32"/>
  <sheetViews>
    <sheetView topLeftCell="B2" zoomScale="70" zoomScaleNormal="70" workbookViewId="0">
      <selection activeCell="H3" sqref="H3:K32"/>
    </sheetView>
  </sheetViews>
  <sheetFormatPr defaultRowHeight="15"/>
  <cols>
    <col min="1" max="1" width="42.140625" style="3" bestFit="1" customWidth="1"/>
    <col min="2" max="2" width="55.42578125" style="3" customWidth="1"/>
    <col min="3" max="7" width="6.7109375" style="3" customWidth="1"/>
    <col min="8" max="10" width="4.140625" style="3" bestFit="1" customWidth="1"/>
    <col min="11" max="11" width="4.140625" style="3" customWidth="1"/>
    <col min="12" max="15" width="6.7109375" style="3" customWidth="1"/>
    <col min="16" max="16" width="10.140625" style="3" bestFit="1" customWidth="1"/>
    <col min="17" max="17" width="4.140625" style="3" bestFit="1" customWidth="1"/>
    <col min="18" max="22" width="4.7109375" style="3" customWidth="1"/>
    <col min="23" max="16384" width="9.140625" style="3"/>
  </cols>
  <sheetData>
    <row r="1" spans="1:22" ht="137.25">
      <c r="A1" s="5" t="s">
        <v>109</v>
      </c>
      <c r="B1" s="6" t="s">
        <v>110</v>
      </c>
      <c r="C1" s="7" t="s">
        <v>107</v>
      </c>
      <c r="D1" s="7" t="s">
        <v>146</v>
      </c>
      <c r="E1" s="7" t="s">
        <v>143</v>
      </c>
      <c r="F1" s="7" t="s">
        <v>145</v>
      </c>
      <c r="G1" s="7" t="s">
        <v>144</v>
      </c>
      <c r="H1" s="7" t="s">
        <v>147</v>
      </c>
      <c r="I1" s="7" t="s">
        <v>148</v>
      </c>
      <c r="J1" s="7" t="s">
        <v>149</v>
      </c>
      <c r="K1" s="7" t="s">
        <v>62</v>
      </c>
      <c r="L1" s="7" t="s">
        <v>147</v>
      </c>
      <c r="M1" s="7" t="s">
        <v>148</v>
      </c>
      <c r="N1" s="7" t="s">
        <v>149</v>
      </c>
      <c r="O1" s="7" t="s">
        <v>62</v>
      </c>
      <c r="P1" s="7" t="s">
        <v>150</v>
      </c>
      <c r="Q1" s="7" t="s">
        <v>108</v>
      </c>
      <c r="R1" s="7" t="s">
        <v>107</v>
      </c>
      <c r="S1" s="7" t="s">
        <v>146</v>
      </c>
      <c r="T1" s="7" t="s">
        <v>143</v>
      </c>
      <c r="U1" s="7" t="s">
        <v>145</v>
      </c>
      <c r="V1" s="9" t="s">
        <v>144</v>
      </c>
    </row>
    <row r="2" spans="1:22">
      <c r="A2" s="1"/>
      <c r="B2" s="1"/>
      <c r="C2" s="4"/>
      <c r="D2" s="4"/>
      <c r="E2" s="4"/>
      <c r="F2" s="4"/>
      <c r="G2" s="4"/>
      <c r="H2" s="2"/>
      <c r="I2" s="2"/>
      <c r="J2" s="2"/>
      <c r="K2" s="2"/>
      <c r="L2" s="2"/>
      <c r="M2" s="2"/>
      <c r="N2" s="2"/>
      <c r="O2" s="2"/>
      <c r="P2" s="2"/>
      <c r="Q2" s="2"/>
      <c r="R2" s="4"/>
      <c r="S2" s="4"/>
      <c r="T2" s="4"/>
      <c r="U2" s="4"/>
      <c r="V2" s="4"/>
    </row>
    <row r="3" spans="1:22">
      <c r="A3" s="107" t="s">
        <v>111</v>
      </c>
      <c r="B3" s="10" t="s">
        <v>44</v>
      </c>
      <c r="C3" s="42">
        <v>0</v>
      </c>
      <c r="D3" s="42">
        <v>0.25</v>
      </c>
      <c r="E3" s="42">
        <v>0.5</v>
      </c>
      <c r="F3" s="42">
        <v>0.8</v>
      </c>
      <c r="G3" s="42">
        <v>1</v>
      </c>
      <c r="H3" s="22"/>
      <c r="I3" s="22"/>
      <c r="J3" s="22">
        <v>4</v>
      </c>
      <c r="K3" s="22"/>
      <c r="L3" s="42" t="b">
        <f>IF(H3=1,0%,IF(H3=2,25%,IF(H3=3,50%,IF(H3=4,80%,IF(H3=5,100%)))))</f>
        <v>0</v>
      </c>
      <c r="M3" s="42" t="b">
        <f>IF(I3=1,0%,IF(I3=2,25%,IF(I3=3,50%,IF(I3=4,80%,IF(I3=5,100%)))))</f>
        <v>0</v>
      </c>
      <c r="N3" s="42">
        <f>IF(J3=1,0%,IF(J3=2,25%,IF(J3=3,50%,IF(J3=4,80%,IF(J3=5,100%)))))</f>
        <v>0.8</v>
      </c>
      <c r="O3" s="42" t="b">
        <f>IF(K3=1,0%,IF(K3=2,25%,IF(K3=3,50%,IF(K3=4,80%,IF(K3=5,100%)))))</f>
        <v>0</v>
      </c>
      <c r="P3" s="41">
        <f t="shared" ref="P3:P8" si="0">AVERAGE(L3:O3)</f>
        <v>0.8</v>
      </c>
      <c r="Q3" s="11">
        <f>5-P3</f>
        <v>4.2</v>
      </c>
      <c r="R3" s="10" t="s">
        <v>113</v>
      </c>
      <c r="S3" s="10" t="s">
        <v>112</v>
      </c>
      <c r="T3" s="10" t="s">
        <v>114</v>
      </c>
      <c r="U3" s="10" t="s">
        <v>115</v>
      </c>
      <c r="V3" s="12" t="s">
        <v>116</v>
      </c>
    </row>
    <row r="4" spans="1:22">
      <c r="A4" s="108"/>
      <c r="B4" s="13" t="s">
        <v>117</v>
      </c>
      <c r="C4" s="43">
        <v>0</v>
      </c>
      <c r="D4" s="43">
        <v>0.25</v>
      </c>
      <c r="E4" s="43">
        <v>0.5</v>
      </c>
      <c r="F4" s="43">
        <v>0.8</v>
      </c>
      <c r="G4" s="43">
        <v>1</v>
      </c>
      <c r="H4" s="23"/>
      <c r="I4" s="23"/>
      <c r="J4" s="23">
        <v>4</v>
      </c>
      <c r="K4" s="23"/>
      <c r="L4" s="43" t="b">
        <f t="shared" ref="L4:L32" si="1">IF(H4=1,0%,IF(H4=2,25%,IF(H4=3,50%,IF(H4=4,80%,IF(H4=5,100%)))))</f>
        <v>0</v>
      </c>
      <c r="M4" s="43" t="b">
        <f t="shared" ref="M4:M32" si="2">IF(I4=1,0%,IF(I4=2,25%,IF(I4=3,50%,IF(I4=4,80%,IF(I4=5,100%)))))</f>
        <v>0</v>
      </c>
      <c r="N4" s="43">
        <f t="shared" ref="N4:N32" si="3">IF(J4=1,0%,IF(J4=2,25%,IF(J4=3,50%,IF(J4=4,80%,IF(J4=5,100%)))))</f>
        <v>0.8</v>
      </c>
      <c r="O4" s="43" t="b">
        <f t="shared" ref="O4:O32" si="4">IF(K4=1,0%,IF(K4=2,25%,IF(K4=3,50%,IF(K4=4,80%,IF(K4=5,100%)))))</f>
        <v>0</v>
      </c>
      <c r="P4" s="45">
        <f t="shared" si="0"/>
        <v>0.8</v>
      </c>
      <c r="Q4" s="14">
        <f t="shared" ref="Q4:Q32" si="5">5-P4</f>
        <v>4.2</v>
      </c>
      <c r="R4" s="10" t="s">
        <v>113</v>
      </c>
      <c r="S4" s="10" t="s">
        <v>112</v>
      </c>
      <c r="T4" s="10" t="s">
        <v>114</v>
      </c>
      <c r="U4" s="10" t="s">
        <v>115</v>
      </c>
      <c r="V4" s="12" t="s">
        <v>116</v>
      </c>
    </row>
    <row r="5" spans="1:22">
      <c r="A5" s="108"/>
      <c r="B5" s="13" t="s">
        <v>118</v>
      </c>
      <c r="C5" s="43">
        <v>0</v>
      </c>
      <c r="D5" s="43">
        <v>0.25</v>
      </c>
      <c r="E5" s="43">
        <v>0.5</v>
      </c>
      <c r="F5" s="43">
        <v>0.8</v>
      </c>
      <c r="G5" s="43">
        <v>1</v>
      </c>
      <c r="H5" s="23"/>
      <c r="I5" s="23"/>
      <c r="J5" s="23">
        <v>4</v>
      </c>
      <c r="K5" s="23"/>
      <c r="L5" s="43" t="b">
        <f t="shared" si="1"/>
        <v>0</v>
      </c>
      <c r="M5" s="43" t="b">
        <f t="shared" si="2"/>
        <v>0</v>
      </c>
      <c r="N5" s="43">
        <f t="shared" si="3"/>
        <v>0.8</v>
      </c>
      <c r="O5" s="43" t="b">
        <f t="shared" si="4"/>
        <v>0</v>
      </c>
      <c r="P5" s="45">
        <f t="shared" si="0"/>
        <v>0.8</v>
      </c>
      <c r="Q5" s="14">
        <f t="shared" si="5"/>
        <v>4.2</v>
      </c>
      <c r="R5" s="10" t="s">
        <v>113</v>
      </c>
      <c r="S5" s="10" t="s">
        <v>112</v>
      </c>
      <c r="T5" s="10" t="s">
        <v>114</v>
      </c>
      <c r="U5" s="10" t="s">
        <v>115</v>
      </c>
      <c r="V5" s="12" t="s">
        <v>116</v>
      </c>
    </row>
    <row r="6" spans="1:22">
      <c r="A6" s="108"/>
      <c r="B6" s="13" t="s">
        <v>119</v>
      </c>
      <c r="C6" s="43">
        <v>0</v>
      </c>
      <c r="D6" s="43">
        <v>0.25</v>
      </c>
      <c r="E6" s="43">
        <v>0.5</v>
      </c>
      <c r="F6" s="43">
        <v>0.8</v>
      </c>
      <c r="G6" s="43">
        <v>1</v>
      </c>
      <c r="H6" s="23"/>
      <c r="I6" s="23"/>
      <c r="J6" s="23">
        <v>3</v>
      </c>
      <c r="K6" s="23"/>
      <c r="L6" s="43" t="b">
        <f t="shared" si="1"/>
        <v>0</v>
      </c>
      <c r="M6" s="43" t="b">
        <f t="shared" si="2"/>
        <v>0</v>
      </c>
      <c r="N6" s="43">
        <f t="shared" si="3"/>
        <v>0.5</v>
      </c>
      <c r="O6" s="43" t="b">
        <f t="shared" si="4"/>
        <v>0</v>
      </c>
      <c r="P6" s="45">
        <f t="shared" si="0"/>
        <v>0.5</v>
      </c>
      <c r="Q6" s="14">
        <f t="shared" si="5"/>
        <v>4.5</v>
      </c>
      <c r="R6" s="10" t="s">
        <v>113</v>
      </c>
      <c r="S6" s="10" t="s">
        <v>112</v>
      </c>
      <c r="T6" s="10" t="s">
        <v>114</v>
      </c>
      <c r="U6" s="10" t="s">
        <v>115</v>
      </c>
      <c r="V6" s="12" t="s">
        <v>116</v>
      </c>
    </row>
    <row r="7" spans="1:22">
      <c r="A7" s="108"/>
      <c r="B7" s="13" t="s">
        <v>69</v>
      </c>
      <c r="C7" s="43">
        <v>0</v>
      </c>
      <c r="D7" s="43">
        <v>0.25</v>
      </c>
      <c r="E7" s="43">
        <v>0.5</v>
      </c>
      <c r="F7" s="43">
        <v>0.8</v>
      </c>
      <c r="G7" s="43">
        <v>1</v>
      </c>
      <c r="H7" s="23"/>
      <c r="I7" s="23"/>
      <c r="J7" s="23">
        <v>4</v>
      </c>
      <c r="K7" s="23"/>
      <c r="L7" s="43" t="b">
        <f t="shared" si="1"/>
        <v>0</v>
      </c>
      <c r="M7" s="43" t="b">
        <f t="shared" si="2"/>
        <v>0</v>
      </c>
      <c r="N7" s="43">
        <f t="shared" si="3"/>
        <v>0.8</v>
      </c>
      <c r="O7" s="43" t="b">
        <f t="shared" si="4"/>
        <v>0</v>
      </c>
      <c r="P7" s="45">
        <f t="shared" si="0"/>
        <v>0.8</v>
      </c>
      <c r="Q7" s="14">
        <f t="shared" si="5"/>
        <v>4.2</v>
      </c>
      <c r="R7" s="10" t="s">
        <v>113</v>
      </c>
      <c r="S7" s="10" t="s">
        <v>112</v>
      </c>
      <c r="T7" s="10" t="s">
        <v>114</v>
      </c>
      <c r="U7" s="10" t="s">
        <v>115</v>
      </c>
      <c r="V7" s="12" t="s">
        <v>116</v>
      </c>
    </row>
    <row r="8" spans="1:22">
      <c r="A8" s="108"/>
      <c r="B8" s="13" t="s">
        <v>120</v>
      </c>
      <c r="C8" s="43">
        <v>0</v>
      </c>
      <c r="D8" s="43">
        <v>0.25</v>
      </c>
      <c r="E8" s="43">
        <v>0.5</v>
      </c>
      <c r="F8" s="43">
        <v>0.8</v>
      </c>
      <c r="G8" s="43">
        <v>1</v>
      </c>
      <c r="H8" s="23"/>
      <c r="I8" s="23"/>
      <c r="J8" s="23">
        <v>4</v>
      </c>
      <c r="K8" s="23"/>
      <c r="L8" s="43" t="b">
        <f t="shared" si="1"/>
        <v>0</v>
      </c>
      <c r="M8" s="43" t="b">
        <f t="shared" si="2"/>
        <v>0</v>
      </c>
      <c r="N8" s="43">
        <f t="shared" si="3"/>
        <v>0.8</v>
      </c>
      <c r="O8" s="43" t="b">
        <f t="shared" si="4"/>
        <v>0</v>
      </c>
      <c r="P8" s="45">
        <f t="shared" si="0"/>
        <v>0.8</v>
      </c>
      <c r="Q8" s="14">
        <f t="shared" si="5"/>
        <v>4.2</v>
      </c>
      <c r="R8" s="10" t="s">
        <v>113</v>
      </c>
      <c r="S8" s="10" t="s">
        <v>112</v>
      </c>
      <c r="T8" s="10" t="s">
        <v>114</v>
      </c>
      <c r="U8" s="10" t="s">
        <v>115</v>
      </c>
      <c r="V8" s="12" t="s">
        <v>116</v>
      </c>
    </row>
    <row r="9" spans="1:22">
      <c r="A9" s="108"/>
      <c r="B9" s="13" t="s">
        <v>121</v>
      </c>
      <c r="C9" s="43">
        <v>0</v>
      </c>
      <c r="D9" s="43">
        <v>0.25</v>
      </c>
      <c r="E9" s="43">
        <v>0.5</v>
      </c>
      <c r="F9" s="43">
        <v>0.8</v>
      </c>
      <c r="G9" s="43">
        <v>1</v>
      </c>
      <c r="H9" s="23"/>
      <c r="I9" s="23"/>
      <c r="J9" s="23">
        <v>4</v>
      </c>
      <c r="K9" s="23"/>
      <c r="L9" s="43" t="b">
        <f t="shared" si="1"/>
        <v>0</v>
      </c>
      <c r="M9" s="43" t="b">
        <f t="shared" si="2"/>
        <v>0</v>
      </c>
      <c r="N9" s="43">
        <f t="shared" si="3"/>
        <v>0.8</v>
      </c>
      <c r="O9" s="43" t="b">
        <f t="shared" si="4"/>
        <v>0</v>
      </c>
      <c r="P9" s="45">
        <f t="shared" ref="P9:P32" si="6">AVERAGE(L9:O9)</f>
        <v>0.8</v>
      </c>
      <c r="Q9" s="14">
        <f t="shared" si="5"/>
        <v>4.2</v>
      </c>
      <c r="R9" s="10" t="s">
        <v>113</v>
      </c>
      <c r="S9" s="10" t="s">
        <v>112</v>
      </c>
      <c r="T9" s="10" t="s">
        <v>114</v>
      </c>
      <c r="U9" s="10" t="s">
        <v>115</v>
      </c>
      <c r="V9" s="12" t="s">
        <v>116</v>
      </c>
    </row>
    <row r="10" spans="1:22" s="21" customFormat="1">
      <c r="A10" s="108"/>
      <c r="B10" s="17" t="s">
        <v>122</v>
      </c>
      <c r="C10" s="44">
        <v>0</v>
      </c>
      <c r="D10" s="44">
        <v>0.25</v>
      </c>
      <c r="E10" s="44">
        <v>0.5</v>
      </c>
      <c r="F10" s="44">
        <v>0.8</v>
      </c>
      <c r="G10" s="44">
        <v>1</v>
      </c>
      <c r="H10" s="24"/>
      <c r="I10" s="24"/>
      <c r="J10" s="24">
        <v>4</v>
      </c>
      <c r="K10" s="24"/>
      <c r="L10" s="44" t="b">
        <f t="shared" si="1"/>
        <v>0</v>
      </c>
      <c r="M10" s="44" t="b">
        <f t="shared" si="2"/>
        <v>0</v>
      </c>
      <c r="N10" s="44">
        <f t="shared" si="3"/>
        <v>0.8</v>
      </c>
      <c r="O10" s="44" t="b">
        <f t="shared" si="4"/>
        <v>0</v>
      </c>
      <c r="P10" s="46">
        <f t="shared" si="6"/>
        <v>0.8</v>
      </c>
      <c r="Q10" s="18">
        <f t="shared" si="5"/>
        <v>4.2</v>
      </c>
      <c r="R10" s="19" t="s">
        <v>113</v>
      </c>
      <c r="S10" s="19" t="s">
        <v>112</v>
      </c>
      <c r="T10" s="19" t="s">
        <v>114</v>
      </c>
      <c r="U10" s="19" t="s">
        <v>115</v>
      </c>
      <c r="V10" s="20" t="s">
        <v>116</v>
      </c>
    </row>
    <row r="11" spans="1:22" s="21" customFormat="1">
      <c r="A11" s="108"/>
      <c r="B11" s="17" t="s">
        <v>123</v>
      </c>
      <c r="C11" s="44">
        <v>0</v>
      </c>
      <c r="D11" s="44">
        <v>0.25</v>
      </c>
      <c r="E11" s="44">
        <v>0.5</v>
      </c>
      <c r="F11" s="44">
        <v>0.8</v>
      </c>
      <c r="G11" s="44">
        <v>1</v>
      </c>
      <c r="H11" s="24"/>
      <c r="I11" s="24"/>
      <c r="J11" s="24">
        <v>2</v>
      </c>
      <c r="K11" s="24"/>
      <c r="L11" s="44" t="b">
        <f t="shared" si="1"/>
        <v>0</v>
      </c>
      <c r="M11" s="44" t="b">
        <f t="shared" si="2"/>
        <v>0</v>
      </c>
      <c r="N11" s="44">
        <f t="shared" si="3"/>
        <v>0.25</v>
      </c>
      <c r="O11" s="44" t="b">
        <f t="shared" si="4"/>
        <v>0</v>
      </c>
      <c r="P11" s="46">
        <f t="shared" si="6"/>
        <v>0.25</v>
      </c>
      <c r="Q11" s="18">
        <f t="shared" si="5"/>
        <v>4.75</v>
      </c>
      <c r="R11" s="19" t="s">
        <v>113</v>
      </c>
      <c r="S11" s="19" t="s">
        <v>112</v>
      </c>
      <c r="T11" s="19" t="s">
        <v>114</v>
      </c>
      <c r="U11" s="19" t="s">
        <v>115</v>
      </c>
      <c r="V11" s="20" t="s">
        <v>116</v>
      </c>
    </row>
    <row r="12" spans="1:22" s="21" customFormat="1">
      <c r="A12" s="108"/>
      <c r="B12" s="17" t="s">
        <v>124</v>
      </c>
      <c r="C12" s="44">
        <v>0</v>
      </c>
      <c r="D12" s="44">
        <v>0.25</v>
      </c>
      <c r="E12" s="44">
        <v>0.5</v>
      </c>
      <c r="F12" s="44">
        <v>0.8</v>
      </c>
      <c r="G12" s="44">
        <v>1</v>
      </c>
      <c r="H12" s="24"/>
      <c r="I12" s="24"/>
      <c r="J12" s="24">
        <v>2</v>
      </c>
      <c r="K12" s="24"/>
      <c r="L12" s="44" t="b">
        <f t="shared" si="1"/>
        <v>0</v>
      </c>
      <c r="M12" s="44" t="b">
        <f t="shared" si="2"/>
        <v>0</v>
      </c>
      <c r="N12" s="44">
        <f t="shared" si="3"/>
        <v>0.25</v>
      </c>
      <c r="O12" s="44" t="b">
        <f t="shared" si="4"/>
        <v>0</v>
      </c>
      <c r="P12" s="46">
        <f t="shared" si="6"/>
        <v>0.25</v>
      </c>
      <c r="Q12" s="18">
        <f t="shared" si="5"/>
        <v>4.75</v>
      </c>
      <c r="R12" s="19" t="s">
        <v>113</v>
      </c>
      <c r="S12" s="19" t="s">
        <v>112</v>
      </c>
      <c r="T12" s="19" t="s">
        <v>114</v>
      </c>
      <c r="U12" s="19" t="s">
        <v>115</v>
      </c>
      <c r="V12" s="20" t="s">
        <v>116</v>
      </c>
    </row>
    <row r="13" spans="1:22">
      <c r="A13" s="108"/>
      <c r="B13" s="13" t="s">
        <v>125</v>
      </c>
      <c r="C13" s="43">
        <v>0</v>
      </c>
      <c r="D13" s="43">
        <v>0.25</v>
      </c>
      <c r="E13" s="43">
        <v>0.5</v>
      </c>
      <c r="F13" s="43">
        <v>0.8</v>
      </c>
      <c r="G13" s="43">
        <v>1</v>
      </c>
      <c r="H13" s="23"/>
      <c r="I13" s="23"/>
      <c r="J13" s="23">
        <v>3</v>
      </c>
      <c r="K13" s="23"/>
      <c r="L13" s="43" t="b">
        <f t="shared" si="1"/>
        <v>0</v>
      </c>
      <c r="M13" s="43" t="b">
        <f t="shared" si="2"/>
        <v>0</v>
      </c>
      <c r="N13" s="43">
        <f t="shared" si="3"/>
        <v>0.5</v>
      </c>
      <c r="O13" s="43" t="b">
        <f t="shared" si="4"/>
        <v>0</v>
      </c>
      <c r="P13" s="45">
        <f t="shared" si="6"/>
        <v>0.5</v>
      </c>
      <c r="Q13" s="14">
        <f t="shared" si="5"/>
        <v>4.5</v>
      </c>
      <c r="R13" s="10" t="s">
        <v>113</v>
      </c>
      <c r="S13" s="10" t="s">
        <v>112</v>
      </c>
      <c r="T13" s="10" t="s">
        <v>114</v>
      </c>
      <c r="U13" s="10" t="s">
        <v>115</v>
      </c>
      <c r="V13" s="12" t="s">
        <v>116</v>
      </c>
    </row>
    <row r="14" spans="1:22">
      <c r="A14" s="108"/>
      <c r="B14" s="13" t="s">
        <v>126</v>
      </c>
      <c r="C14" s="43">
        <v>0</v>
      </c>
      <c r="D14" s="43">
        <v>0.25</v>
      </c>
      <c r="E14" s="43">
        <v>0.5</v>
      </c>
      <c r="F14" s="43">
        <v>0.8</v>
      </c>
      <c r="G14" s="43">
        <v>1</v>
      </c>
      <c r="H14" s="23"/>
      <c r="I14" s="23"/>
      <c r="J14" s="23">
        <v>2</v>
      </c>
      <c r="K14" s="23"/>
      <c r="L14" s="43" t="b">
        <f t="shared" si="1"/>
        <v>0</v>
      </c>
      <c r="M14" s="43" t="b">
        <f t="shared" si="2"/>
        <v>0</v>
      </c>
      <c r="N14" s="43">
        <f t="shared" si="3"/>
        <v>0.25</v>
      </c>
      <c r="O14" s="43" t="b">
        <f t="shared" si="4"/>
        <v>0</v>
      </c>
      <c r="P14" s="45">
        <f t="shared" si="6"/>
        <v>0.25</v>
      </c>
      <c r="Q14" s="14">
        <f t="shared" si="5"/>
        <v>4.75</v>
      </c>
      <c r="R14" s="10" t="s">
        <v>113</v>
      </c>
      <c r="S14" s="10" t="s">
        <v>112</v>
      </c>
      <c r="T14" s="10" t="s">
        <v>114</v>
      </c>
      <c r="U14" s="10" t="s">
        <v>115</v>
      </c>
      <c r="V14" s="12" t="s">
        <v>116</v>
      </c>
    </row>
    <row r="15" spans="1:22">
      <c r="A15" s="108"/>
      <c r="B15" s="13" t="s">
        <v>127</v>
      </c>
      <c r="C15" s="43">
        <v>0</v>
      </c>
      <c r="D15" s="43">
        <v>0.25</v>
      </c>
      <c r="E15" s="43">
        <v>0.5</v>
      </c>
      <c r="F15" s="43">
        <v>0.8</v>
      </c>
      <c r="G15" s="43">
        <v>1</v>
      </c>
      <c r="H15" s="23"/>
      <c r="I15" s="23"/>
      <c r="J15" s="23">
        <v>3</v>
      </c>
      <c r="K15" s="23"/>
      <c r="L15" s="43" t="b">
        <f t="shared" si="1"/>
        <v>0</v>
      </c>
      <c r="M15" s="43" t="b">
        <f t="shared" si="2"/>
        <v>0</v>
      </c>
      <c r="N15" s="43">
        <f t="shared" si="3"/>
        <v>0.5</v>
      </c>
      <c r="O15" s="43" t="b">
        <f t="shared" si="4"/>
        <v>0</v>
      </c>
      <c r="P15" s="45">
        <f t="shared" si="6"/>
        <v>0.5</v>
      </c>
      <c r="Q15" s="14">
        <f t="shared" si="5"/>
        <v>4.5</v>
      </c>
      <c r="R15" s="10" t="s">
        <v>113</v>
      </c>
      <c r="S15" s="10" t="s">
        <v>112</v>
      </c>
      <c r="T15" s="10" t="s">
        <v>114</v>
      </c>
      <c r="U15" s="10" t="s">
        <v>115</v>
      </c>
      <c r="V15" s="12" t="s">
        <v>116</v>
      </c>
    </row>
    <row r="16" spans="1:22" s="21" customFormat="1">
      <c r="A16" s="108"/>
      <c r="B16" s="17" t="s">
        <v>128</v>
      </c>
      <c r="C16" s="44">
        <v>0</v>
      </c>
      <c r="D16" s="44">
        <v>0.25</v>
      </c>
      <c r="E16" s="44">
        <v>0.5</v>
      </c>
      <c r="F16" s="44">
        <v>0.8</v>
      </c>
      <c r="G16" s="44">
        <v>1</v>
      </c>
      <c r="H16" s="24"/>
      <c r="I16" s="24"/>
      <c r="J16" s="24">
        <v>4</v>
      </c>
      <c r="K16" s="24"/>
      <c r="L16" s="44" t="b">
        <f t="shared" si="1"/>
        <v>0</v>
      </c>
      <c r="M16" s="44" t="b">
        <f t="shared" si="2"/>
        <v>0</v>
      </c>
      <c r="N16" s="44">
        <f t="shared" si="3"/>
        <v>0.8</v>
      </c>
      <c r="O16" s="44" t="b">
        <f t="shared" si="4"/>
        <v>0</v>
      </c>
      <c r="P16" s="46">
        <f t="shared" si="6"/>
        <v>0.8</v>
      </c>
      <c r="Q16" s="18">
        <f t="shared" si="5"/>
        <v>4.2</v>
      </c>
      <c r="R16" s="19" t="s">
        <v>113</v>
      </c>
      <c r="S16" s="19" t="s">
        <v>112</v>
      </c>
      <c r="T16" s="19" t="s">
        <v>114</v>
      </c>
      <c r="U16" s="19" t="s">
        <v>115</v>
      </c>
      <c r="V16" s="20" t="s">
        <v>116</v>
      </c>
    </row>
    <row r="17" spans="1:22">
      <c r="A17" s="108"/>
      <c r="B17" s="13" t="s">
        <v>129</v>
      </c>
      <c r="C17" s="43">
        <v>0</v>
      </c>
      <c r="D17" s="43">
        <v>0.25</v>
      </c>
      <c r="E17" s="43">
        <v>0.5</v>
      </c>
      <c r="F17" s="43">
        <v>0.8</v>
      </c>
      <c r="G17" s="43">
        <v>1</v>
      </c>
      <c r="H17" s="23"/>
      <c r="I17" s="23"/>
      <c r="J17" s="23">
        <v>3</v>
      </c>
      <c r="K17" s="23"/>
      <c r="L17" s="43" t="b">
        <f t="shared" si="1"/>
        <v>0</v>
      </c>
      <c r="M17" s="43" t="b">
        <f t="shared" si="2"/>
        <v>0</v>
      </c>
      <c r="N17" s="43">
        <f t="shared" si="3"/>
        <v>0.5</v>
      </c>
      <c r="O17" s="43" t="b">
        <f t="shared" si="4"/>
        <v>0</v>
      </c>
      <c r="P17" s="45">
        <f t="shared" si="6"/>
        <v>0.5</v>
      </c>
      <c r="Q17" s="14">
        <f t="shared" si="5"/>
        <v>4.5</v>
      </c>
      <c r="R17" s="10" t="s">
        <v>113</v>
      </c>
      <c r="S17" s="10" t="s">
        <v>112</v>
      </c>
      <c r="T17" s="10" t="s">
        <v>114</v>
      </c>
      <c r="U17" s="10" t="s">
        <v>115</v>
      </c>
      <c r="V17" s="12" t="s">
        <v>116</v>
      </c>
    </row>
    <row r="18" spans="1:22">
      <c r="A18" s="108"/>
      <c r="B18" s="13" t="s">
        <v>130</v>
      </c>
      <c r="C18" s="43">
        <v>0</v>
      </c>
      <c r="D18" s="43">
        <v>0.25</v>
      </c>
      <c r="E18" s="43">
        <v>0.5</v>
      </c>
      <c r="F18" s="43">
        <v>0.8</v>
      </c>
      <c r="G18" s="43">
        <v>1</v>
      </c>
      <c r="H18" s="23"/>
      <c r="I18" s="23"/>
      <c r="J18" s="23">
        <v>2</v>
      </c>
      <c r="K18" s="23"/>
      <c r="L18" s="43" t="b">
        <f t="shared" si="1"/>
        <v>0</v>
      </c>
      <c r="M18" s="43" t="b">
        <f t="shared" si="2"/>
        <v>0</v>
      </c>
      <c r="N18" s="43">
        <f t="shared" si="3"/>
        <v>0.25</v>
      </c>
      <c r="O18" s="43" t="b">
        <f t="shared" si="4"/>
        <v>0</v>
      </c>
      <c r="P18" s="45">
        <f t="shared" si="6"/>
        <v>0.25</v>
      </c>
      <c r="Q18" s="14">
        <f t="shared" si="5"/>
        <v>4.75</v>
      </c>
      <c r="R18" s="10" t="s">
        <v>113</v>
      </c>
      <c r="S18" s="10" t="s">
        <v>112</v>
      </c>
      <c r="T18" s="10" t="s">
        <v>114</v>
      </c>
      <c r="U18" s="10" t="s">
        <v>115</v>
      </c>
      <c r="V18" s="12" t="s">
        <v>116</v>
      </c>
    </row>
    <row r="19" spans="1:22">
      <c r="A19" s="108"/>
      <c r="B19" s="13" t="s">
        <v>131</v>
      </c>
      <c r="C19" s="43">
        <v>0</v>
      </c>
      <c r="D19" s="43">
        <v>0.25</v>
      </c>
      <c r="E19" s="43">
        <v>0.5</v>
      </c>
      <c r="F19" s="43">
        <v>0.8</v>
      </c>
      <c r="G19" s="43">
        <v>1</v>
      </c>
      <c r="H19" s="23"/>
      <c r="I19" s="23"/>
      <c r="J19" s="23">
        <v>4</v>
      </c>
      <c r="K19" s="23"/>
      <c r="L19" s="43" t="b">
        <f t="shared" si="1"/>
        <v>0</v>
      </c>
      <c r="M19" s="43" t="b">
        <f t="shared" si="2"/>
        <v>0</v>
      </c>
      <c r="N19" s="43">
        <f t="shared" si="3"/>
        <v>0.8</v>
      </c>
      <c r="O19" s="43" t="b">
        <f t="shared" si="4"/>
        <v>0</v>
      </c>
      <c r="P19" s="45">
        <f t="shared" si="6"/>
        <v>0.8</v>
      </c>
      <c r="Q19" s="14">
        <f t="shared" si="5"/>
        <v>4.2</v>
      </c>
      <c r="R19" s="10" t="s">
        <v>113</v>
      </c>
      <c r="S19" s="10" t="s">
        <v>112</v>
      </c>
      <c r="T19" s="10" t="s">
        <v>114</v>
      </c>
      <c r="U19" s="10" t="s">
        <v>115</v>
      </c>
      <c r="V19" s="12" t="s">
        <v>116</v>
      </c>
    </row>
    <row r="20" spans="1:22" s="21" customFormat="1">
      <c r="A20" s="108"/>
      <c r="B20" s="17" t="s">
        <v>132</v>
      </c>
      <c r="C20" s="44">
        <v>0</v>
      </c>
      <c r="D20" s="44">
        <v>0.25</v>
      </c>
      <c r="E20" s="44">
        <v>0.5</v>
      </c>
      <c r="F20" s="44">
        <v>0.8</v>
      </c>
      <c r="G20" s="44">
        <v>1</v>
      </c>
      <c r="H20" s="24"/>
      <c r="I20" s="24"/>
      <c r="J20" s="24">
        <v>4</v>
      </c>
      <c r="K20" s="24"/>
      <c r="L20" s="44" t="b">
        <f t="shared" si="1"/>
        <v>0</v>
      </c>
      <c r="M20" s="44" t="b">
        <f t="shared" si="2"/>
        <v>0</v>
      </c>
      <c r="N20" s="44">
        <f t="shared" si="3"/>
        <v>0.8</v>
      </c>
      <c r="O20" s="44" t="b">
        <f t="shared" si="4"/>
        <v>0</v>
      </c>
      <c r="P20" s="46">
        <f t="shared" si="6"/>
        <v>0.8</v>
      </c>
      <c r="Q20" s="18">
        <f t="shared" si="5"/>
        <v>4.2</v>
      </c>
      <c r="R20" s="19" t="s">
        <v>113</v>
      </c>
      <c r="S20" s="19" t="s">
        <v>112</v>
      </c>
      <c r="T20" s="19" t="s">
        <v>114</v>
      </c>
      <c r="U20" s="19" t="s">
        <v>115</v>
      </c>
      <c r="V20" s="20" t="s">
        <v>116</v>
      </c>
    </row>
    <row r="21" spans="1:22">
      <c r="A21" s="108"/>
      <c r="B21" s="13" t="s">
        <v>133</v>
      </c>
      <c r="C21" s="43">
        <v>0</v>
      </c>
      <c r="D21" s="43">
        <v>0.25</v>
      </c>
      <c r="E21" s="43">
        <v>0.5</v>
      </c>
      <c r="F21" s="43">
        <v>0.8</v>
      </c>
      <c r="G21" s="43">
        <v>1</v>
      </c>
      <c r="H21" s="23"/>
      <c r="I21" s="23"/>
      <c r="J21" s="23">
        <v>3</v>
      </c>
      <c r="K21" s="23"/>
      <c r="L21" s="43" t="b">
        <f t="shared" si="1"/>
        <v>0</v>
      </c>
      <c r="M21" s="43" t="b">
        <f t="shared" si="2"/>
        <v>0</v>
      </c>
      <c r="N21" s="43">
        <f t="shared" si="3"/>
        <v>0.5</v>
      </c>
      <c r="O21" s="43" t="b">
        <f t="shared" si="4"/>
        <v>0</v>
      </c>
      <c r="P21" s="45">
        <f t="shared" si="6"/>
        <v>0.5</v>
      </c>
      <c r="Q21" s="14">
        <f t="shared" si="5"/>
        <v>4.5</v>
      </c>
      <c r="R21" s="10" t="s">
        <v>113</v>
      </c>
      <c r="S21" s="10" t="s">
        <v>112</v>
      </c>
      <c r="T21" s="10" t="s">
        <v>114</v>
      </c>
      <c r="U21" s="10" t="s">
        <v>115</v>
      </c>
      <c r="V21" s="12" t="s">
        <v>116</v>
      </c>
    </row>
    <row r="22" spans="1:22" s="21" customFormat="1">
      <c r="A22" s="108"/>
      <c r="B22" s="17" t="s">
        <v>134</v>
      </c>
      <c r="C22" s="44">
        <v>0</v>
      </c>
      <c r="D22" s="44">
        <v>0.25</v>
      </c>
      <c r="E22" s="44">
        <v>0.5</v>
      </c>
      <c r="F22" s="44">
        <v>0.8</v>
      </c>
      <c r="G22" s="44">
        <v>1</v>
      </c>
      <c r="H22" s="24"/>
      <c r="I22" s="24"/>
      <c r="J22" s="24">
        <v>3</v>
      </c>
      <c r="K22" s="24"/>
      <c r="L22" s="44" t="b">
        <f t="shared" si="1"/>
        <v>0</v>
      </c>
      <c r="M22" s="44" t="b">
        <f t="shared" si="2"/>
        <v>0</v>
      </c>
      <c r="N22" s="44">
        <f t="shared" si="3"/>
        <v>0.5</v>
      </c>
      <c r="O22" s="44" t="b">
        <f t="shared" si="4"/>
        <v>0</v>
      </c>
      <c r="P22" s="46">
        <f t="shared" si="6"/>
        <v>0.5</v>
      </c>
      <c r="Q22" s="18">
        <f t="shared" si="5"/>
        <v>4.5</v>
      </c>
      <c r="R22" s="19" t="s">
        <v>113</v>
      </c>
      <c r="S22" s="19" t="s">
        <v>112</v>
      </c>
      <c r="T22" s="19" t="s">
        <v>114</v>
      </c>
      <c r="U22" s="19" t="s">
        <v>115</v>
      </c>
      <c r="V22" s="20" t="s">
        <v>116</v>
      </c>
    </row>
    <row r="23" spans="1:22" s="21" customFormat="1">
      <c r="A23" s="108"/>
      <c r="B23" s="17" t="s">
        <v>135</v>
      </c>
      <c r="C23" s="44">
        <v>0</v>
      </c>
      <c r="D23" s="44">
        <v>0.25</v>
      </c>
      <c r="E23" s="44">
        <v>0.5</v>
      </c>
      <c r="F23" s="44">
        <v>0.8</v>
      </c>
      <c r="G23" s="44">
        <v>1</v>
      </c>
      <c r="H23" s="24"/>
      <c r="I23" s="24"/>
      <c r="J23" s="24">
        <v>2</v>
      </c>
      <c r="K23" s="24"/>
      <c r="L23" s="44" t="b">
        <f t="shared" si="1"/>
        <v>0</v>
      </c>
      <c r="M23" s="44" t="b">
        <f t="shared" si="2"/>
        <v>0</v>
      </c>
      <c r="N23" s="44">
        <f t="shared" si="3"/>
        <v>0.25</v>
      </c>
      <c r="O23" s="44" t="b">
        <f t="shared" si="4"/>
        <v>0</v>
      </c>
      <c r="P23" s="46">
        <f t="shared" si="6"/>
        <v>0.25</v>
      </c>
      <c r="Q23" s="18">
        <f t="shared" si="5"/>
        <v>4.75</v>
      </c>
      <c r="R23" s="19" t="s">
        <v>113</v>
      </c>
      <c r="S23" s="19" t="s">
        <v>112</v>
      </c>
      <c r="T23" s="19" t="s">
        <v>114</v>
      </c>
      <c r="U23" s="19" t="s">
        <v>115</v>
      </c>
      <c r="V23" s="20" t="s">
        <v>116</v>
      </c>
    </row>
    <row r="24" spans="1:22" s="21" customFormat="1">
      <c r="A24" s="108"/>
      <c r="B24" s="17" t="s">
        <v>136</v>
      </c>
      <c r="C24" s="44">
        <v>0</v>
      </c>
      <c r="D24" s="44">
        <v>0.25</v>
      </c>
      <c r="E24" s="44">
        <v>0.5</v>
      </c>
      <c r="F24" s="44">
        <v>0.8</v>
      </c>
      <c r="G24" s="44">
        <v>1</v>
      </c>
      <c r="H24" s="24"/>
      <c r="I24" s="24"/>
      <c r="J24" s="24">
        <v>4</v>
      </c>
      <c r="K24" s="24"/>
      <c r="L24" s="44" t="b">
        <f t="shared" si="1"/>
        <v>0</v>
      </c>
      <c r="M24" s="44" t="b">
        <f t="shared" si="2"/>
        <v>0</v>
      </c>
      <c r="N24" s="44">
        <f t="shared" si="3"/>
        <v>0.8</v>
      </c>
      <c r="O24" s="44" t="b">
        <f t="shared" si="4"/>
        <v>0</v>
      </c>
      <c r="P24" s="46">
        <f t="shared" si="6"/>
        <v>0.8</v>
      </c>
      <c r="Q24" s="18">
        <f t="shared" si="5"/>
        <v>4.2</v>
      </c>
      <c r="R24" s="19" t="s">
        <v>113</v>
      </c>
      <c r="S24" s="19" t="s">
        <v>112</v>
      </c>
      <c r="T24" s="19" t="s">
        <v>114</v>
      </c>
      <c r="U24" s="19" t="s">
        <v>115</v>
      </c>
      <c r="V24" s="20" t="s">
        <v>116</v>
      </c>
    </row>
    <row r="25" spans="1:22">
      <c r="A25" s="108"/>
      <c r="B25" s="13" t="s">
        <v>137</v>
      </c>
      <c r="C25" s="43">
        <v>0</v>
      </c>
      <c r="D25" s="43">
        <v>0.25</v>
      </c>
      <c r="E25" s="43">
        <v>0.5</v>
      </c>
      <c r="F25" s="43">
        <v>0.8</v>
      </c>
      <c r="G25" s="43">
        <v>1</v>
      </c>
      <c r="H25" s="23"/>
      <c r="I25" s="23"/>
      <c r="J25" s="23">
        <v>2</v>
      </c>
      <c r="K25" s="23"/>
      <c r="L25" s="43" t="b">
        <f t="shared" si="1"/>
        <v>0</v>
      </c>
      <c r="M25" s="43" t="b">
        <f t="shared" si="2"/>
        <v>0</v>
      </c>
      <c r="N25" s="43">
        <f t="shared" si="3"/>
        <v>0.25</v>
      </c>
      <c r="O25" s="43" t="b">
        <f t="shared" si="4"/>
        <v>0</v>
      </c>
      <c r="P25" s="45">
        <f t="shared" si="6"/>
        <v>0.25</v>
      </c>
      <c r="Q25" s="14">
        <f t="shared" si="5"/>
        <v>4.75</v>
      </c>
      <c r="R25" s="10" t="s">
        <v>113</v>
      </c>
      <c r="S25" s="10" t="s">
        <v>112</v>
      </c>
      <c r="T25" s="10" t="s">
        <v>114</v>
      </c>
      <c r="U25" s="10" t="s">
        <v>115</v>
      </c>
      <c r="V25" s="12" t="s">
        <v>116</v>
      </c>
    </row>
    <row r="26" spans="1:22" s="21" customFormat="1">
      <c r="A26" s="108"/>
      <c r="B26" s="17" t="s">
        <v>138</v>
      </c>
      <c r="C26" s="44">
        <v>0</v>
      </c>
      <c r="D26" s="44">
        <v>0.25</v>
      </c>
      <c r="E26" s="44">
        <v>0.5</v>
      </c>
      <c r="F26" s="44">
        <v>0.8</v>
      </c>
      <c r="G26" s="44">
        <v>1</v>
      </c>
      <c r="H26" s="24"/>
      <c r="I26" s="24"/>
      <c r="J26" s="24">
        <v>4</v>
      </c>
      <c r="K26" s="24"/>
      <c r="L26" s="44" t="b">
        <f t="shared" si="1"/>
        <v>0</v>
      </c>
      <c r="M26" s="44" t="b">
        <f t="shared" si="2"/>
        <v>0</v>
      </c>
      <c r="N26" s="44">
        <f t="shared" si="3"/>
        <v>0.8</v>
      </c>
      <c r="O26" s="44" t="b">
        <f t="shared" si="4"/>
        <v>0</v>
      </c>
      <c r="P26" s="46">
        <f t="shared" si="6"/>
        <v>0.8</v>
      </c>
      <c r="Q26" s="18">
        <f t="shared" si="5"/>
        <v>4.2</v>
      </c>
      <c r="R26" s="19" t="s">
        <v>113</v>
      </c>
      <c r="S26" s="19" t="s">
        <v>112</v>
      </c>
      <c r="T26" s="19" t="s">
        <v>114</v>
      </c>
      <c r="U26" s="19" t="s">
        <v>115</v>
      </c>
      <c r="V26" s="20" t="s">
        <v>116</v>
      </c>
    </row>
    <row r="27" spans="1:22">
      <c r="A27" s="108"/>
      <c r="B27" s="13" t="s">
        <v>139</v>
      </c>
      <c r="C27" s="43">
        <v>0</v>
      </c>
      <c r="D27" s="43">
        <v>0.25</v>
      </c>
      <c r="E27" s="43">
        <v>0.5</v>
      </c>
      <c r="F27" s="43">
        <v>0.8</v>
      </c>
      <c r="G27" s="43">
        <v>1</v>
      </c>
      <c r="H27" s="23"/>
      <c r="I27" s="23"/>
      <c r="J27" s="23">
        <v>4</v>
      </c>
      <c r="K27" s="23"/>
      <c r="L27" s="43" t="b">
        <f t="shared" si="1"/>
        <v>0</v>
      </c>
      <c r="M27" s="43" t="b">
        <f t="shared" si="2"/>
        <v>0</v>
      </c>
      <c r="N27" s="43">
        <f t="shared" si="3"/>
        <v>0.8</v>
      </c>
      <c r="O27" s="43" t="b">
        <f t="shared" si="4"/>
        <v>0</v>
      </c>
      <c r="P27" s="45">
        <f t="shared" si="6"/>
        <v>0.8</v>
      </c>
      <c r="Q27" s="14">
        <f t="shared" si="5"/>
        <v>4.2</v>
      </c>
      <c r="R27" s="10" t="s">
        <v>113</v>
      </c>
      <c r="S27" s="10" t="s">
        <v>112</v>
      </c>
      <c r="T27" s="10" t="s">
        <v>114</v>
      </c>
      <c r="U27" s="10" t="s">
        <v>115</v>
      </c>
      <c r="V27" s="12" t="s">
        <v>116</v>
      </c>
    </row>
    <row r="28" spans="1:22">
      <c r="A28" s="108"/>
      <c r="B28" s="13" t="s">
        <v>140</v>
      </c>
      <c r="C28" s="43">
        <v>0</v>
      </c>
      <c r="D28" s="43">
        <v>0.25</v>
      </c>
      <c r="E28" s="43">
        <v>0.5</v>
      </c>
      <c r="F28" s="43">
        <v>0.8</v>
      </c>
      <c r="G28" s="43">
        <v>1</v>
      </c>
      <c r="H28" s="23"/>
      <c r="I28" s="23"/>
      <c r="J28" s="23">
        <v>2</v>
      </c>
      <c r="K28" s="23"/>
      <c r="L28" s="43" t="b">
        <f t="shared" si="1"/>
        <v>0</v>
      </c>
      <c r="M28" s="43" t="b">
        <f t="shared" si="2"/>
        <v>0</v>
      </c>
      <c r="N28" s="43">
        <f t="shared" si="3"/>
        <v>0.25</v>
      </c>
      <c r="O28" s="43" t="b">
        <f t="shared" si="4"/>
        <v>0</v>
      </c>
      <c r="P28" s="45">
        <f t="shared" si="6"/>
        <v>0.25</v>
      </c>
      <c r="Q28" s="14">
        <f t="shared" si="5"/>
        <v>4.75</v>
      </c>
      <c r="R28" s="10" t="s">
        <v>113</v>
      </c>
      <c r="S28" s="10" t="s">
        <v>112</v>
      </c>
      <c r="T28" s="10" t="s">
        <v>114</v>
      </c>
      <c r="U28" s="10" t="s">
        <v>115</v>
      </c>
      <c r="V28" s="12" t="s">
        <v>116</v>
      </c>
    </row>
    <row r="29" spans="1:22">
      <c r="A29" s="108"/>
      <c r="B29" s="13" t="s">
        <v>141</v>
      </c>
      <c r="C29" s="43">
        <v>0</v>
      </c>
      <c r="D29" s="43">
        <v>0.25</v>
      </c>
      <c r="E29" s="43">
        <v>0.5</v>
      </c>
      <c r="F29" s="43">
        <v>0.8</v>
      </c>
      <c r="G29" s="43">
        <v>1</v>
      </c>
      <c r="H29" s="23"/>
      <c r="I29" s="23"/>
      <c r="J29" s="23">
        <v>3</v>
      </c>
      <c r="K29" s="23"/>
      <c r="L29" s="43" t="b">
        <f t="shared" si="1"/>
        <v>0</v>
      </c>
      <c r="M29" s="43" t="b">
        <f t="shared" si="2"/>
        <v>0</v>
      </c>
      <c r="N29" s="43">
        <f t="shared" si="3"/>
        <v>0.5</v>
      </c>
      <c r="O29" s="43" t="b">
        <f>IF(K29=1,0%,IF(K29=2,25%,IF(K29=3,50%,IF(K29=4,80%,IF(K29=5,100%)))))</f>
        <v>0</v>
      </c>
      <c r="P29" s="45">
        <f t="shared" si="6"/>
        <v>0.5</v>
      </c>
      <c r="Q29" s="14">
        <f t="shared" si="5"/>
        <v>4.5</v>
      </c>
      <c r="R29" s="10" t="s">
        <v>113</v>
      </c>
      <c r="S29" s="10" t="s">
        <v>112</v>
      </c>
      <c r="T29" s="10" t="s">
        <v>114</v>
      </c>
      <c r="U29" s="10" t="s">
        <v>115</v>
      </c>
      <c r="V29" s="12" t="s">
        <v>116</v>
      </c>
    </row>
    <row r="30" spans="1:22">
      <c r="A30" s="108"/>
      <c r="B30" s="13" t="s">
        <v>151</v>
      </c>
      <c r="C30" s="43">
        <v>0</v>
      </c>
      <c r="D30" s="43">
        <v>0.25</v>
      </c>
      <c r="E30" s="43">
        <v>0.5</v>
      </c>
      <c r="F30" s="43">
        <v>0.8</v>
      </c>
      <c r="G30" s="43">
        <v>1</v>
      </c>
      <c r="H30" s="23"/>
      <c r="I30" s="23"/>
      <c r="J30" s="23">
        <v>2</v>
      </c>
      <c r="K30" s="23"/>
      <c r="L30" s="43" t="b">
        <f t="shared" si="1"/>
        <v>0</v>
      </c>
      <c r="M30" s="43" t="b">
        <f t="shared" si="2"/>
        <v>0</v>
      </c>
      <c r="N30" s="43">
        <f t="shared" si="3"/>
        <v>0.25</v>
      </c>
      <c r="O30" s="43" t="b">
        <f t="shared" si="4"/>
        <v>0</v>
      </c>
      <c r="P30" s="45">
        <f t="shared" si="6"/>
        <v>0.25</v>
      </c>
      <c r="Q30" s="14">
        <f t="shared" si="5"/>
        <v>4.75</v>
      </c>
      <c r="R30" s="10" t="s">
        <v>113</v>
      </c>
      <c r="S30" s="10" t="s">
        <v>112</v>
      </c>
      <c r="T30" s="10" t="s">
        <v>114</v>
      </c>
      <c r="U30" s="10" t="s">
        <v>115</v>
      </c>
      <c r="V30" s="12" t="s">
        <v>116</v>
      </c>
    </row>
    <row r="31" spans="1:22">
      <c r="A31" s="108"/>
      <c r="B31" s="13" t="s">
        <v>142</v>
      </c>
      <c r="C31" s="43">
        <v>0</v>
      </c>
      <c r="D31" s="43">
        <v>0.25</v>
      </c>
      <c r="E31" s="43">
        <v>0.5</v>
      </c>
      <c r="F31" s="43">
        <v>0.8</v>
      </c>
      <c r="G31" s="43">
        <v>1</v>
      </c>
      <c r="H31" s="23"/>
      <c r="I31" s="23"/>
      <c r="J31" s="23">
        <v>3</v>
      </c>
      <c r="K31" s="23"/>
      <c r="L31" s="43" t="b">
        <f t="shared" si="1"/>
        <v>0</v>
      </c>
      <c r="M31" s="43" t="b">
        <f t="shared" si="2"/>
        <v>0</v>
      </c>
      <c r="N31" s="43">
        <f t="shared" si="3"/>
        <v>0.5</v>
      </c>
      <c r="O31" s="43" t="b">
        <f t="shared" si="4"/>
        <v>0</v>
      </c>
      <c r="P31" s="45">
        <f t="shared" si="6"/>
        <v>0.5</v>
      </c>
      <c r="Q31" s="14">
        <f t="shared" si="5"/>
        <v>4.5</v>
      </c>
      <c r="R31" s="10" t="s">
        <v>113</v>
      </c>
      <c r="S31" s="10" t="s">
        <v>112</v>
      </c>
      <c r="T31" s="10" t="s">
        <v>114</v>
      </c>
      <c r="U31" s="10" t="s">
        <v>115</v>
      </c>
      <c r="V31" s="12" t="s">
        <v>116</v>
      </c>
    </row>
    <row r="32" spans="1:22" s="21" customFormat="1">
      <c r="A32" s="108"/>
      <c r="B32" s="17" t="s">
        <v>45</v>
      </c>
      <c r="C32" s="44">
        <v>0</v>
      </c>
      <c r="D32" s="44">
        <v>0.25</v>
      </c>
      <c r="E32" s="44">
        <v>0.5</v>
      </c>
      <c r="F32" s="44">
        <v>0.8</v>
      </c>
      <c r="G32" s="44">
        <v>1</v>
      </c>
      <c r="H32" s="24"/>
      <c r="I32" s="24"/>
      <c r="J32" s="24">
        <v>4</v>
      </c>
      <c r="K32" s="24"/>
      <c r="L32" s="44" t="b">
        <f t="shared" si="1"/>
        <v>0</v>
      </c>
      <c r="M32" s="44" t="b">
        <f t="shared" si="2"/>
        <v>0</v>
      </c>
      <c r="N32" s="44">
        <f t="shared" si="3"/>
        <v>0.8</v>
      </c>
      <c r="O32" s="44" t="b">
        <f t="shared" si="4"/>
        <v>0</v>
      </c>
      <c r="P32" s="46">
        <f t="shared" si="6"/>
        <v>0.8</v>
      </c>
      <c r="Q32" s="18">
        <f t="shared" si="5"/>
        <v>4.2</v>
      </c>
      <c r="R32" s="19" t="s">
        <v>113</v>
      </c>
      <c r="S32" s="19" t="s">
        <v>112</v>
      </c>
      <c r="T32" s="19" t="s">
        <v>114</v>
      </c>
      <c r="U32" s="19" t="s">
        <v>115</v>
      </c>
      <c r="V32" s="20" t="s">
        <v>116</v>
      </c>
    </row>
  </sheetData>
  <mergeCells count="1">
    <mergeCell ref="A3:A32"/>
  </mergeCells>
  <phoneticPr fontId="0" type="noConversion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6">
    <tabColor theme="9" tint="-0.249977111117893"/>
  </sheetPr>
  <dimension ref="A64:B64"/>
  <sheetViews>
    <sheetView zoomScale="55" zoomScaleNormal="55" workbookViewId="0">
      <selection activeCell="B64" sqref="B64"/>
    </sheetView>
  </sheetViews>
  <sheetFormatPr defaultRowHeight="15"/>
  <cols>
    <col min="1" max="16384" width="9.140625" style="3"/>
  </cols>
  <sheetData>
    <row r="64" spans="1:2" ht="15.75">
      <c r="A64" s="60" t="s">
        <v>68</v>
      </c>
      <c r="B64" s="61">
        <f ca="1">AVERAGE(Consolida_PE!P3:P32)</f>
        <v>0.57333333333333358</v>
      </c>
    </row>
  </sheetData>
  <phoneticPr fontId="0" type="noConversion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18">
    <tabColor theme="8" tint="0.79998168889431442"/>
  </sheetPr>
  <dimension ref="B1:U114"/>
  <sheetViews>
    <sheetView topLeftCell="T1" zoomScale="130" zoomScaleNormal="130" workbookViewId="0">
      <selection activeCell="AI1" sqref="AI1"/>
    </sheetView>
  </sheetViews>
  <sheetFormatPr defaultRowHeight="15" customHeight="1"/>
  <cols>
    <col min="1" max="1" width="1.7109375" style="16" customWidth="1"/>
    <col min="2" max="21" width="9.140625" style="16"/>
    <col min="22" max="22" width="1.7109375" style="16" customWidth="1"/>
    <col min="23" max="16384" width="9.140625" style="16"/>
  </cols>
  <sheetData>
    <row r="1" spans="2:21" ht="22.5" customHeight="1"/>
    <row r="2" spans="2:21" ht="22.5" customHeight="1"/>
    <row r="3" spans="2:21" ht="61.5" customHeight="1">
      <c r="B3" s="105" t="s">
        <v>37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</row>
    <row r="5" spans="2:21" ht="30" customHeight="1">
      <c r="B5" s="104" t="s">
        <v>153</v>
      </c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</row>
    <row r="6" spans="2:21" ht="30" customHeight="1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</row>
    <row r="16" spans="2:21" ht="15" customHeight="1">
      <c r="B16" s="109" t="s">
        <v>76</v>
      </c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1"/>
    </row>
    <row r="17" spans="2:21" ht="15" customHeight="1">
      <c r="B17" s="112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4"/>
    </row>
    <row r="18" spans="2:21" ht="15" customHeight="1">
      <c r="B18" s="115"/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7"/>
    </row>
    <row r="28" spans="2:21" ht="15" customHeight="1">
      <c r="B28" s="109" t="s">
        <v>76</v>
      </c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1"/>
    </row>
    <row r="29" spans="2:21" ht="15" customHeight="1">
      <c r="B29" s="112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14"/>
    </row>
    <row r="30" spans="2:21" ht="15" customHeight="1">
      <c r="B30" s="115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7"/>
    </row>
    <row r="40" spans="2:21" ht="15" customHeight="1">
      <c r="B40" s="109" t="s">
        <v>61</v>
      </c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1"/>
    </row>
    <row r="41" spans="2:21" ht="15" customHeight="1">
      <c r="B41" s="112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4"/>
    </row>
    <row r="42" spans="2:21" ht="15" customHeight="1">
      <c r="B42" s="115"/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7"/>
    </row>
    <row r="52" spans="2:21" ht="15" customHeight="1">
      <c r="B52" s="109" t="s">
        <v>98</v>
      </c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1"/>
    </row>
    <row r="53" spans="2:21" ht="15" customHeight="1">
      <c r="B53" s="112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4"/>
    </row>
    <row r="54" spans="2:21" ht="15" customHeight="1">
      <c r="B54" s="115"/>
      <c r="C54" s="116"/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7"/>
    </row>
    <row r="64" spans="2:21" ht="15" customHeight="1">
      <c r="B64" s="109" t="s">
        <v>76</v>
      </c>
      <c r="C64" s="110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1"/>
    </row>
    <row r="65" spans="2:21" ht="15" customHeight="1">
      <c r="B65" s="112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4"/>
    </row>
    <row r="66" spans="2:21" ht="15" customHeight="1">
      <c r="B66" s="115"/>
      <c r="C66" s="116"/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7"/>
    </row>
    <row r="76" spans="2:21" ht="15" customHeight="1">
      <c r="B76" s="109" t="s">
        <v>76</v>
      </c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1"/>
    </row>
    <row r="77" spans="2:21" ht="15" customHeight="1">
      <c r="B77" s="112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4"/>
    </row>
    <row r="78" spans="2:21" ht="15" customHeight="1">
      <c r="B78" s="115"/>
      <c r="C78" s="116"/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7"/>
    </row>
    <row r="88" spans="2:21" ht="15" customHeight="1">
      <c r="B88" s="109" t="s">
        <v>61</v>
      </c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1"/>
    </row>
    <row r="89" spans="2:21" ht="15" customHeight="1">
      <c r="B89" s="112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4"/>
    </row>
    <row r="90" spans="2:21" ht="15" customHeight="1">
      <c r="B90" s="115"/>
      <c r="C90" s="116"/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7"/>
    </row>
    <row r="100" spans="2:21" ht="15" customHeight="1">
      <c r="B100" s="109" t="s">
        <v>61</v>
      </c>
      <c r="C100" s="110"/>
      <c r="D100" s="110"/>
      <c r="E100" s="110"/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1"/>
    </row>
    <row r="101" spans="2:21" ht="15" customHeight="1">
      <c r="B101" s="112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4"/>
    </row>
    <row r="102" spans="2:21" ht="15" customHeight="1">
      <c r="B102" s="115"/>
      <c r="C102" s="116"/>
      <c r="D102" s="116"/>
      <c r="E102" s="116"/>
      <c r="F102" s="116"/>
      <c r="G102" s="116"/>
      <c r="H102" s="116"/>
      <c r="I102" s="116"/>
      <c r="J102" s="116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7"/>
    </row>
    <row r="112" spans="2:21" ht="15" customHeight="1">
      <c r="B112" s="109" t="s">
        <v>61</v>
      </c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1"/>
    </row>
    <row r="113" spans="2:21" ht="15" customHeight="1">
      <c r="B113" s="112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4"/>
    </row>
    <row r="114" spans="2:21" ht="15" customHeight="1">
      <c r="B114" s="115"/>
      <c r="C114" s="116"/>
      <c r="D114" s="116"/>
      <c r="E114" s="116"/>
      <c r="F114" s="116"/>
      <c r="G114" s="116"/>
      <c r="H114" s="116"/>
      <c r="I114" s="116"/>
      <c r="J114" s="116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7"/>
    </row>
  </sheetData>
  <mergeCells count="11">
    <mergeCell ref="B100:U102"/>
    <mergeCell ref="B40:U42"/>
    <mergeCell ref="B3:U3"/>
    <mergeCell ref="B5:U6"/>
    <mergeCell ref="B16:U18"/>
    <mergeCell ref="B28:U30"/>
    <mergeCell ref="B112:U114"/>
    <mergeCell ref="B52:U54"/>
    <mergeCell ref="B64:U66"/>
    <mergeCell ref="B76:U78"/>
    <mergeCell ref="B88:U90"/>
  </mergeCells>
  <phoneticPr fontId="0" type="noConversion"/>
  <pageMargins left="0.511811024" right="0.511811024" top="0.78740157499999996" bottom="0.78740157499999996" header="0.31496062000000002" footer="0.31496062000000002"/>
  <pageSetup orientation="portrait" horizontalDpi="300" verticalDpi="12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20">
    <tabColor theme="8" tint="0.79998168889431442"/>
  </sheetPr>
  <dimension ref="B1:U90"/>
  <sheetViews>
    <sheetView topLeftCell="F74" zoomScale="130" zoomScaleNormal="130" workbookViewId="0">
      <selection activeCell="U93" sqref="U93"/>
    </sheetView>
  </sheetViews>
  <sheetFormatPr defaultRowHeight="15" customHeight="1"/>
  <cols>
    <col min="1" max="1" width="1.7109375" style="16" customWidth="1"/>
    <col min="2" max="21" width="9.140625" style="16"/>
    <col min="22" max="22" width="1.7109375" style="16" customWidth="1"/>
    <col min="23" max="16384" width="9.140625" style="16"/>
  </cols>
  <sheetData>
    <row r="1" spans="2:21" ht="22.5" customHeight="1"/>
    <row r="2" spans="2:21" ht="22.5" customHeight="1"/>
    <row r="3" spans="2:21" ht="61.5" customHeight="1">
      <c r="B3" s="105" t="s">
        <v>38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</row>
    <row r="5" spans="2:21" ht="30" customHeight="1">
      <c r="B5" s="104" t="s">
        <v>156</v>
      </c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</row>
    <row r="6" spans="2:21" ht="30" customHeight="1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</row>
    <row r="16" spans="2:21" ht="15" customHeight="1">
      <c r="B16" s="109" t="s">
        <v>61</v>
      </c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1"/>
    </row>
    <row r="17" spans="2:21" ht="15" customHeight="1">
      <c r="B17" s="112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4"/>
    </row>
    <row r="18" spans="2:21" ht="15" customHeight="1">
      <c r="B18" s="115"/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7"/>
    </row>
    <row r="28" spans="2:21" ht="15" customHeight="1">
      <c r="B28" s="109" t="s">
        <v>61</v>
      </c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1"/>
    </row>
    <row r="29" spans="2:21" ht="15" customHeight="1">
      <c r="B29" s="112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14"/>
    </row>
    <row r="30" spans="2:21" ht="15" customHeight="1">
      <c r="B30" s="115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7"/>
    </row>
    <row r="40" spans="2:21" ht="15" customHeight="1">
      <c r="B40" s="109" t="s">
        <v>61</v>
      </c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1"/>
    </row>
    <row r="41" spans="2:21" ht="15" customHeight="1">
      <c r="B41" s="112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4"/>
    </row>
    <row r="42" spans="2:21" ht="15" customHeight="1">
      <c r="B42" s="115"/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7"/>
    </row>
    <row r="52" spans="2:21" ht="15" customHeight="1">
      <c r="B52" s="109" t="s">
        <v>61</v>
      </c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1"/>
    </row>
    <row r="53" spans="2:21" ht="15" customHeight="1">
      <c r="B53" s="112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4"/>
    </row>
    <row r="54" spans="2:21" ht="15" customHeight="1">
      <c r="B54" s="115"/>
      <c r="C54" s="116"/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7"/>
    </row>
    <row r="64" spans="2:21" ht="15" customHeight="1">
      <c r="B64" s="109" t="s">
        <v>61</v>
      </c>
      <c r="C64" s="110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1"/>
    </row>
    <row r="65" spans="2:21" ht="15" customHeight="1">
      <c r="B65" s="112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4"/>
    </row>
    <row r="66" spans="2:21" ht="15" customHeight="1">
      <c r="B66" s="115"/>
      <c r="C66" s="116"/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7"/>
    </row>
    <row r="76" spans="2:21" ht="15" customHeight="1">
      <c r="B76" s="109" t="s">
        <v>104</v>
      </c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1"/>
    </row>
    <row r="77" spans="2:21" ht="15" customHeight="1">
      <c r="B77" s="112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4"/>
    </row>
    <row r="78" spans="2:21" ht="15" customHeight="1">
      <c r="B78" s="115"/>
      <c r="C78" s="116"/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7"/>
    </row>
    <row r="88" spans="2:21" ht="15" customHeight="1">
      <c r="B88" s="109" t="s">
        <v>61</v>
      </c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1"/>
    </row>
    <row r="89" spans="2:21" ht="15" customHeight="1">
      <c r="B89" s="112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4"/>
    </row>
    <row r="90" spans="2:21" ht="15" customHeight="1">
      <c r="B90" s="115"/>
      <c r="C90" s="116"/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7"/>
    </row>
  </sheetData>
  <mergeCells count="9">
    <mergeCell ref="B88:U90"/>
    <mergeCell ref="B40:U42"/>
    <mergeCell ref="B52:U54"/>
    <mergeCell ref="B3:U3"/>
    <mergeCell ref="B5:U6"/>
    <mergeCell ref="B16:U18"/>
    <mergeCell ref="B28:U30"/>
    <mergeCell ref="B64:U66"/>
    <mergeCell ref="B76:U78"/>
  </mergeCells>
  <phoneticPr fontId="0" type="noConversion"/>
  <pageMargins left="0.511811024" right="0.511811024" top="0.78740157499999996" bottom="0.78740157499999996" header="0.31496062000000002" footer="0.31496062000000002"/>
  <pageSetup orientation="portrait" horizontalDpi="300" verticalDpi="12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21">
    <tabColor theme="8" tint="0.79998168889431442"/>
  </sheetPr>
  <dimension ref="B1:U66"/>
  <sheetViews>
    <sheetView topLeftCell="F53" zoomScale="130" zoomScaleNormal="130" workbookViewId="0">
      <selection activeCell="U68" sqref="U68"/>
    </sheetView>
  </sheetViews>
  <sheetFormatPr defaultRowHeight="15" customHeight="1"/>
  <cols>
    <col min="1" max="1" width="1.7109375" style="16" customWidth="1"/>
    <col min="2" max="21" width="9.140625" style="16"/>
    <col min="22" max="22" width="1.7109375" style="16" customWidth="1"/>
    <col min="23" max="16384" width="9.140625" style="16"/>
  </cols>
  <sheetData>
    <row r="1" spans="2:21" ht="22.5" customHeight="1"/>
    <row r="2" spans="2:21" ht="22.5" customHeight="1"/>
    <row r="3" spans="2:21" ht="61.5" customHeight="1">
      <c r="B3" s="105" t="s">
        <v>39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</row>
    <row r="5" spans="2:21" ht="30" customHeight="1">
      <c r="B5" s="104" t="s">
        <v>157</v>
      </c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</row>
    <row r="6" spans="2:21" ht="30" customHeight="1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</row>
    <row r="16" spans="2:21" ht="15" customHeight="1">
      <c r="B16" s="118" t="s">
        <v>105</v>
      </c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20"/>
    </row>
    <row r="17" spans="2:21" ht="15" customHeight="1">
      <c r="B17" s="121"/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3"/>
    </row>
    <row r="18" spans="2:21" ht="15" customHeight="1">
      <c r="B18" s="124"/>
      <c r="C18" s="125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6"/>
    </row>
    <row r="28" spans="2:21" ht="15" customHeight="1">
      <c r="B28" s="109" t="s">
        <v>76</v>
      </c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1"/>
    </row>
    <row r="29" spans="2:21" ht="15" customHeight="1">
      <c r="B29" s="112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14"/>
    </row>
    <row r="30" spans="2:21" ht="15" customHeight="1">
      <c r="B30" s="115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7"/>
    </row>
    <row r="40" spans="2:21" ht="15" customHeight="1">
      <c r="B40" s="109" t="s">
        <v>61</v>
      </c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1"/>
    </row>
    <row r="41" spans="2:21" ht="15" customHeight="1">
      <c r="B41" s="112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4"/>
    </row>
    <row r="42" spans="2:21" ht="15" customHeight="1">
      <c r="B42" s="115"/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7"/>
    </row>
    <row r="52" spans="2:21" ht="15" customHeight="1">
      <c r="B52" s="109" t="s">
        <v>76</v>
      </c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1"/>
    </row>
    <row r="53" spans="2:21" ht="15" customHeight="1">
      <c r="B53" s="112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4"/>
    </row>
    <row r="54" spans="2:21" ht="15" customHeight="1">
      <c r="B54" s="115"/>
      <c r="C54" s="116"/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7"/>
    </row>
    <row r="64" spans="2:21" ht="15" customHeight="1">
      <c r="B64" s="109" t="s">
        <v>61</v>
      </c>
      <c r="C64" s="110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1"/>
    </row>
    <row r="65" spans="2:21" ht="15" customHeight="1">
      <c r="B65" s="112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4"/>
    </row>
    <row r="66" spans="2:21" ht="15" customHeight="1">
      <c r="B66" s="115"/>
      <c r="C66" s="116"/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7"/>
    </row>
  </sheetData>
  <mergeCells count="7">
    <mergeCell ref="B52:U54"/>
    <mergeCell ref="B64:U66"/>
    <mergeCell ref="B3:U3"/>
    <mergeCell ref="B5:U6"/>
    <mergeCell ref="B16:U18"/>
    <mergeCell ref="B28:U30"/>
    <mergeCell ref="B40:U42"/>
  </mergeCells>
  <phoneticPr fontId="0" type="noConversion"/>
  <pageMargins left="0.511811024" right="0.511811024" top="0.78740157499999996" bottom="0.78740157499999996" header="0.31496062000000002" footer="0.31496062000000002"/>
  <pageSetup orientation="portrait" horizontalDpi="300" verticalDpi="12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19">
    <tabColor theme="8" tint="0.79998168889431442"/>
  </sheetPr>
  <dimension ref="B1:U150"/>
  <sheetViews>
    <sheetView topLeftCell="E137" zoomScale="130" zoomScaleNormal="130" workbookViewId="0">
      <selection activeCell="T154" sqref="T154"/>
    </sheetView>
  </sheetViews>
  <sheetFormatPr defaultRowHeight="15" customHeight="1"/>
  <cols>
    <col min="1" max="1" width="1.7109375" style="16" customWidth="1"/>
    <col min="2" max="21" width="9.140625" style="16"/>
    <col min="22" max="22" width="1.7109375" style="16" customWidth="1"/>
    <col min="23" max="16384" width="9.140625" style="16"/>
  </cols>
  <sheetData>
    <row r="1" spans="2:21" ht="22.5" customHeight="1"/>
    <row r="2" spans="2:21" ht="22.5" customHeight="1"/>
    <row r="3" spans="2:21" ht="61.5" customHeight="1">
      <c r="B3" s="105" t="s">
        <v>40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</row>
    <row r="5" spans="2:21" ht="30" customHeight="1">
      <c r="B5" s="104" t="s">
        <v>152</v>
      </c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</row>
    <row r="6" spans="2:21" ht="30" customHeight="1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</row>
    <row r="16" spans="2:21" ht="15" customHeight="1">
      <c r="B16" s="109" t="s">
        <v>61</v>
      </c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1"/>
    </row>
    <row r="17" spans="2:21" ht="15" customHeight="1">
      <c r="B17" s="112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4"/>
    </row>
    <row r="18" spans="2:21" ht="15" customHeight="1">
      <c r="B18" s="115"/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7"/>
    </row>
    <row r="28" spans="2:21" ht="15" customHeight="1">
      <c r="B28" s="109" t="s">
        <v>61</v>
      </c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1"/>
    </row>
    <row r="29" spans="2:21" ht="15" customHeight="1">
      <c r="B29" s="112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14"/>
    </row>
    <row r="30" spans="2:21" ht="15" customHeight="1">
      <c r="B30" s="115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7"/>
    </row>
    <row r="40" spans="2:21" ht="15" customHeight="1">
      <c r="B40" s="109"/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1"/>
    </row>
    <row r="41" spans="2:21" ht="15" customHeight="1">
      <c r="B41" s="112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4"/>
    </row>
    <row r="42" spans="2:21" ht="15" customHeight="1">
      <c r="B42" s="115"/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7"/>
    </row>
    <row r="52" spans="2:21" ht="15" customHeight="1">
      <c r="B52" s="109"/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1"/>
    </row>
    <row r="53" spans="2:21" ht="15" customHeight="1">
      <c r="B53" s="112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4"/>
    </row>
    <row r="54" spans="2:21" ht="15" customHeight="1">
      <c r="B54" s="115"/>
      <c r="C54" s="116"/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7"/>
    </row>
    <row r="64" spans="2:21" ht="15" customHeight="1">
      <c r="B64" s="109"/>
      <c r="C64" s="110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1"/>
    </row>
    <row r="65" spans="2:21" ht="15" customHeight="1">
      <c r="B65" s="112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4"/>
    </row>
    <row r="66" spans="2:21" ht="15" customHeight="1">
      <c r="B66" s="115"/>
      <c r="C66" s="116"/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7"/>
    </row>
    <row r="76" spans="2:21" ht="15" customHeight="1">
      <c r="B76" s="109"/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1"/>
    </row>
    <row r="77" spans="2:21" ht="15" customHeight="1">
      <c r="B77" s="112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4"/>
    </row>
    <row r="78" spans="2:21" ht="15" customHeight="1">
      <c r="B78" s="115"/>
      <c r="C78" s="116"/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7"/>
    </row>
    <row r="88" spans="2:21" ht="15" customHeight="1">
      <c r="B88" s="109"/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1"/>
    </row>
    <row r="89" spans="2:21" ht="15" customHeight="1">
      <c r="B89" s="112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4"/>
    </row>
    <row r="90" spans="2:21" ht="15" customHeight="1">
      <c r="B90" s="115"/>
      <c r="C90" s="116"/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7"/>
    </row>
    <row r="100" spans="2:21" ht="15" customHeight="1">
      <c r="B100" s="109" t="s">
        <v>61</v>
      </c>
      <c r="C100" s="110"/>
      <c r="D100" s="110"/>
      <c r="E100" s="110"/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1"/>
    </row>
    <row r="101" spans="2:21" ht="15" customHeight="1">
      <c r="B101" s="112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4"/>
    </row>
    <row r="102" spans="2:21" ht="15" customHeight="1">
      <c r="B102" s="115"/>
      <c r="C102" s="116"/>
      <c r="D102" s="116"/>
      <c r="E102" s="116"/>
      <c r="F102" s="116"/>
      <c r="G102" s="116"/>
      <c r="H102" s="116"/>
      <c r="I102" s="116"/>
      <c r="J102" s="116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7"/>
    </row>
    <row r="112" spans="2:21" ht="15" customHeight="1">
      <c r="B112" s="109" t="s">
        <v>106</v>
      </c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1"/>
    </row>
    <row r="113" spans="2:21" ht="15" customHeight="1">
      <c r="B113" s="112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4"/>
    </row>
    <row r="114" spans="2:21" ht="15" customHeight="1">
      <c r="B114" s="115"/>
      <c r="C114" s="116"/>
      <c r="D114" s="116"/>
      <c r="E114" s="116"/>
      <c r="F114" s="116"/>
      <c r="G114" s="116"/>
      <c r="H114" s="116"/>
      <c r="I114" s="116"/>
      <c r="J114" s="116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7"/>
    </row>
    <row r="124" spans="2:21" ht="15" customHeight="1">
      <c r="B124" s="109" t="s">
        <v>100</v>
      </c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1"/>
    </row>
    <row r="125" spans="2:21" ht="15" customHeight="1">
      <c r="B125" s="112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  <c r="T125" s="113"/>
      <c r="U125" s="114"/>
    </row>
    <row r="126" spans="2:21" ht="15" customHeight="1">
      <c r="B126" s="115"/>
      <c r="C126" s="116"/>
      <c r="D126" s="116"/>
      <c r="E126" s="116"/>
      <c r="F126" s="116"/>
      <c r="G126" s="116"/>
      <c r="H126" s="116"/>
      <c r="I126" s="116"/>
      <c r="J126" s="116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7"/>
    </row>
    <row r="136" spans="2:21" ht="15" customHeight="1">
      <c r="B136" s="109" t="s">
        <v>101</v>
      </c>
      <c r="C136" s="110"/>
      <c r="D136" s="110"/>
      <c r="E136" s="110"/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1"/>
    </row>
    <row r="137" spans="2:21" ht="15" customHeight="1">
      <c r="B137" s="112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  <c r="T137" s="113"/>
      <c r="U137" s="114"/>
    </row>
    <row r="138" spans="2:21" ht="15" customHeight="1">
      <c r="B138" s="115"/>
      <c r="C138" s="116"/>
      <c r="D138" s="116"/>
      <c r="E138" s="116"/>
      <c r="F138" s="116"/>
      <c r="G138" s="116"/>
      <c r="H138" s="116"/>
      <c r="I138" s="116"/>
      <c r="J138" s="116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7"/>
    </row>
    <row r="148" spans="2:21" ht="15" customHeight="1">
      <c r="B148" s="109" t="s">
        <v>76</v>
      </c>
      <c r="C148" s="110"/>
      <c r="D148" s="110"/>
      <c r="E148" s="110"/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1"/>
    </row>
    <row r="149" spans="2:21" ht="15" customHeight="1">
      <c r="B149" s="112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  <c r="T149" s="113"/>
      <c r="U149" s="114"/>
    </row>
    <row r="150" spans="2:21" ht="15" customHeight="1">
      <c r="B150" s="115"/>
      <c r="C150" s="116"/>
      <c r="D150" s="116"/>
      <c r="E150" s="116"/>
      <c r="F150" s="116"/>
      <c r="G150" s="116"/>
      <c r="H150" s="116"/>
      <c r="I150" s="116"/>
      <c r="J150" s="116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7"/>
    </row>
  </sheetData>
  <mergeCells count="14">
    <mergeCell ref="B3:U3"/>
    <mergeCell ref="B5:U6"/>
    <mergeCell ref="B16:U18"/>
    <mergeCell ref="B28:U30"/>
    <mergeCell ref="B40:U42"/>
    <mergeCell ref="B124:U126"/>
    <mergeCell ref="B136:U138"/>
    <mergeCell ref="B148:U150"/>
    <mergeCell ref="B52:U54"/>
    <mergeCell ref="B64:U66"/>
    <mergeCell ref="B76:U78"/>
    <mergeCell ref="B88:U90"/>
    <mergeCell ref="B100:U102"/>
    <mergeCell ref="B112:U114"/>
  </mergeCells>
  <phoneticPr fontId="0" type="noConversion"/>
  <pageMargins left="0.511811024" right="0.511811024" top="0.78740157499999996" bottom="0.78740157499999996" header="0.31496062000000002" footer="0.31496062000000002"/>
  <pageSetup orientation="portrait" horizontalDpi="300" verticalDpi="12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17">
    <tabColor theme="8" tint="0.79998168889431442"/>
  </sheetPr>
  <dimension ref="B1:U114"/>
  <sheetViews>
    <sheetView topLeftCell="R113" zoomScale="145" zoomScaleNormal="145" workbookViewId="0">
      <selection activeCell="AF130" sqref="AF130"/>
    </sheetView>
  </sheetViews>
  <sheetFormatPr defaultRowHeight="15" customHeight="1"/>
  <cols>
    <col min="1" max="1" width="1.7109375" style="16" customWidth="1"/>
    <col min="2" max="21" width="9.140625" style="16"/>
    <col min="22" max="22" width="1.7109375" style="16" customWidth="1"/>
    <col min="23" max="16384" width="9.140625" style="16"/>
  </cols>
  <sheetData>
    <row r="1" spans="2:21" ht="22.5" customHeight="1"/>
    <row r="2" spans="2:21" ht="22.5" customHeight="1"/>
    <row r="3" spans="2:21" ht="61.5" customHeight="1">
      <c r="B3" s="105" t="s">
        <v>41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</row>
    <row r="5" spans="2:21" ht="30" customHeight="1">
      <c r="B5" s="104" t="s">
        <v>154</v>
      </c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</row>
    <row r="6" spans="2:21" ht="30" customHeight="1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</row>
    <row r="16" spans="2:21" ht="15" customHeight="1">
      <c r="B16" s="109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1"/>
    </row>
    <row r="17" spans="2:21" ht="15" customHeight="1">
      <c r="B17" s="112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4"/>
    </row>
    <row r="18" spans="2:21" ht="15" customHeight="1">
      <c r="B18" s="115"/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7"/>
    </row>
    <row r="28" spans="2:21" ht="15" customHeight="1">
      <c r="B28" s="109" t="s">
        <v>61</v>
      </c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1"/>
    </row>
    <row r="29" spans="2:21" ht="15" customHeight="1">
      <c r="B29" s="112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14"/>
    </row>
    <row r="30" spans="2:21" ht="15" customHeight="1">
      <c r="B30" s="115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7"/>
    </row>
    <row r="40" spans="2:21" ht="15" customHeight="1">
      <c r="B40" s="109" t="s">
        <v>61</v>
      </c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1"/>
    </row>
    <row r="41" spans="2:21" ht="15" customHeight="1">
      <c r="B41" s="112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4"/>
    </row>
    <row r="42" spans="2:21" ht="15" customHeight="1">
      <c r="B42" s="115"/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7"/>
    </row>
    <row r="52" spans="2:21" ht="15" customHeight="1">
      <c r="B52" s="109" t="s">
        <v>61</v>
      </c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1"/>
    </row>
    <row r="53" spans="2:21" ht="15" customHeight="1">
      <c r="B53" s="112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4"/>
    </row>
    <row r="54" spans="2:21" ht="15" customHeight="1">
      <c r="B54" s="115"/>
      <c r="C54" s="116"/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7"/>
    </row>
    <row r="64" spans="2:21" ht="15" customHeight="1">
      <c r="B64" s="109" t="s">
        <v>61</v>
      </c>
      <c r="C64" s="110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1"/>
    </row>
    <row r="65" spans="2:21" ht="15" customHeight="1">
      <c r="B65" s="112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4"/>
    </row>
    <row r="66" spans="2:21" ht="15" customHeight="1">
      <c r="B66" s="115"/>
      <c r="C66" s="116"/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7"/>
    </row>
    <row r="76" spans="2:21" ht="15" customHeight="1">
      <c r="B76" s="109" t="s">
        <v>61</v>
      </c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1"/>
    </row>
    <row r="77" spans="2:21" ht="15" customHeight="1">
      <c r="B77" s="112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4"/>
    </row>
    <row r="78" spans="2:21" ht="15" customHeight="1">
      <c r="B78" s="115"/>
      <c r="C78" s="116"/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7"/>
    </row>
    <row r="88" spans="2:21" ht="15" customHeight="1">
      <c r="B88" s="109"/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1"/>
    </row>
    <row r="89" spans="2:21" ht="15" customHeight="1">
      <c r="B89" s="112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4"/>
    </row>
    <row r="90" spans="2:21" ht="15" customHeight="1">
      <c r="B90" s="115"/>
      <c r="C90" s="116"/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7"/>
    </row>
    <row r="100" spans="2:21" ht="15" customHeight="1">
      <c r="B100" s="109" t="s">
        <v>61</v>
      </c>
      <c r="C100" s="110"/>
      <c r="D100" s="110"/>
      <c r="E100" s="110"/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1"/>
    </row>
    <row r="101" spans="2:21" ht="15" customHeight="1">
      <c r="B101" s="112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4"/>
    </row>
    <row r="102" spans="2:21" ht="15" customHeight="1">
      <c r="B102" s="115"/>
      <c r="C102" s="116"/>
      <c r="D102" s="116"/>
      <c r="E102" s="116"/>
      <c r="F102" s="116"/>
      <c r="G102" s="116"/>
      <c r="H102" s="116"/>
      <c r="I102" s="116"/>
      <c r="J102" s="116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7"/>
    </row>
    <row r="112" spans="2:21" ht="15" customHeight="1">
      <c r="B112" s="109" t="s">
        <v>61</v>
      </c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1"/>
    </row>
    <row r="113" spans="2:21" ht="15" customHeight="1">
      <c r="B113" s="112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4"/>
    </row>
    <row r="114" spans="2:21" ht="15" customHeight="1">
      <c r="B114" s="115"/>
      <c r="C114" s="116"/>
      <c r="D114" s="116"/>
      <c r="E114" s="116"/>
      <c r="F114" s="116"/>
      <c r="G114" s="116"/>
      <c r="H114" s="116"/>
      <c r="I114" s="116"/>
      <c r="J114" s="116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7"/>
    </row>
  </sheetData>
  <mergeCells count="11">
    <mergeCell ref="B100:U102"/>
    <mergeCell ref="B40:U42"/>
    <mergeCell ref="B3:U3"/>
    <mergeCell ref="B5:U6"/>
    <mergeCell ref="B16:U18"/>
    <mergeCell ref="B28:U30"/>
    <mergeCell ref="B112:U114"/>
    <mergeCell ref="B52:U54"/>
    <mergeCell ref="B64:U66"/>
    <mergeCell ref="B76:U78"/>
    <mergeCell ref="B88:U90"/>
  </mergeCells>
  <phoneticPr fontId="0" type="noConversion"/>
  <pageMargins left="0.511811024" right="0.511811024" top="0.78740157499999996" bottom="0.78740157499999996" header="0.31496062000000002" footer="0.31496062000000002"/>
  <pageSetup orientation="portrait" horizontalDpi="300" verticalDpi="120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22">
    <tabColor theme="8" tint="0.39997558519241921"/>
  </sheetPr>
  <dimension ref="A1:M44"/>
  <sheetViews>
    <sheetView topLeftCell="A2" zoomScale="70" zoomScaleNormal="70" workbookViewId="0">
      <selection activeCell="G3" sqref="G3:G44"/>
    </sheetView>
  </sheetViews>
  <sheetFormatPr defaultRowHeight="15"/>
  <cols>
    <col min="1" max="1" width="42.140625" style="3" bestFit="1" customWidth="1"/>
    <col min="2" max="2" width="65.5703125" style="3" customWidth="1"/>
    <col min="3" max="6" width="6.7109375" style="3" customWidth="1"/>
    <col min="7" max="7" width="4.140625" style="3" bestFit="1" customWidth="1"/>
    <col min="8" max="8" width="6.7109375" style="3" customWidth="1"/>
    <col min="9" max="9" width="4.140625" style="3" bestFit="1" customWidth="1"/>
    <col min="10" max="13" width="4.7109375" style="3" customWidth="1"/>
    <col min="14" max="16384" width="9.140625" style="3"/>
  </cols>
  <sheetData>
    <row r="1" spans="1:13" ht="143.25">
      <c r="A1" s="5" t="s">
        <v>109</v>
      </c>
      <c r="B1" s="6" t="s">
        <v>110</v>
      </c>
      <c r="C1" s="7" t="s">
        <v>107</v>
      </c>
      <c r="D1" s="7" t="s">
        <v>146</v>
      </c>
      <c r="E1" s="7" t="s">
        <v>145</v>
      </c>
      <c r="F1" s="7" t="s">
        <v>144</v>
      </c>
      <c r="G1" s="7" t="s">
        <v>158</v>
      </c>
      <c r="H1" s="7" t="s">
        <v>158</v>
      </c>
      <c r="I1" s="7" t="s">
        <v>108</v>
      </c>
      <c r="J1" s="7" t="s">
        <v>107</v>
      </c>
      <c r="K1" s="7" t="s">
        <v>146</v>
      </c>
      <c r="L1" s="7" t="s">
        <v>145</v>
      </c>
      <c r="M1" s="9" t="s">
        <v>144</v>
      </c>
    </row>
    <row r="2" spans="1:13">
      <c r="A2" s="1"/>
      <c r="B2" s="1"/>
      <c r="C2" s="4"/>
      <c r="D2" s="4"/>
      <c r="E2" s="4"/>
      <c r="F2" s="4"/>
      <c r="G2" s="2"/>
      <c r="H2" s="2"/>
      <c r="I2" s="2"/>
      <c r="J2" s="4"/>
      <c r="K2" s="4"/>
      <c r="L2" s="4"/>
      <c r="M2" s="4"/>
    </row>
    <row r="3" spans="1:13" s="28" customFormat="1">
      <c r="A3" s="107" t="s">
        <v>159</v>
      </c>
      <c r="B3" s="10" t="s">
        <v>14</v>
      </c>
      <c r="C3" s="47">
        <v>0</v>
      </c>
      <c r="D3" s="47">
        <v>0.3</v>
      </c>
      <c r="E3" s="47">
        <v>0.8</v>
      </c>
      <c r="F3" s="47">
        <v>1</v>
      </c>
      <c r="G3" s="27"/>
      <c r="H3" s="47" t="str">
        <f>IF(G3=1,0%,IF(G3=2,30%,IF(G3=3,80%,IF(G3=4,100%,""))))</f>
        <v/>
      </c>
      <c r="I3" s="26">
        <f>4-G3</f>
        <v>4</v>
      </c>
      <c r="J3" s="10" t="s">
        <v>169</v>
      </c>
      <c r="K3" s="10" t="s">
        <v>170</v>
      </c>
      <c r="L3" s="10" t="s">
        <v>171</v>
      </c>
      <c r="M3" s="12" t="s">
        <v>172</v>
      </c>
    </row>
    <row r="4" spans="1:13" s="28" customFormat="1">
      <c r="A4" s="127"/>
      <c r="B4" s="13" t="s">
        <v>164</v>
      </c>
      <c r="C4" s="48">
        <v>0</v>
      </c>
      <c r="D4" s="48">
        <v>0.3</v>
      </c>
      <c r="E4" s="48">
        <v>0.8</v>
      </c>
      <c r="F4" s="48">
        <v>1</v>
      </c>
      <c r="G4" s="31"/>
      <c r="H4" s="48" t="str">
        <f t="shared" ref="H4:H23" si="0">IF(G4=1,0%,IF(G4=2,30%,IF(G4=3,80%,IF(G4=4,100%,""))))</f>
        <v/>
      </c>
      <c r="I4" s="30">
        <f t="shared" ref="I4:I44" si="1">4-G4</f>
        <v>4</v>
      </c>
      <c r="J4" s="10" t="s">
        <v>173</v>
      </c>
      <c r="K4" s="10" t="s">
        <v>174</v>
      </c>
      <c r="L4" s="10" t="s">
        <v>175</v>
      </c>
      <c r="M4" s="12" t="s">
        <v>176</v>
      </c>
    </row>
    <row r="5" spans="1:13" s="28" customFormat="1">
      <c r="A5" s="127"/>
      <c r="B5" s="29" t="s">
        <v>71</v>
      </c>
      <c r="C5" s="48">
        <v>0</v>
      </c>
      <c r="D5" s="48">
        <v>0.3</v>
      </c>
      <c r="E5" s="48">
        <v>0.8</v>
      </c>
      <c r="F5" s="48">
        <v>1</v>
      </c>
      <c r="G5" s="31"/>
      <c r="H5" s="48" t="str">
        <f t="shared" si="0"/>
        <v/>
      </c>
      <c r="I5" s="30">
        <f t="shared" si="1"/>
        <v>4</v>
      </c>
      <c r="J5" s="10" t="s">
        <v>72</v>
      </c>
      <c r="K5" s="10" t="s">
        <v>73</v>
      </c>
      <c r="L5" s="10" t="s">
        <v>74</v>
      </c>
      <c r="M5" s="12" t="s">
        <v>75</v>
      </c>
    </row>
    <row r="6" spans="1:13" s="28" customFormat="1">
      <c r="A6" s="127"/>
      <c r="B6" s="29" t="s">
        <v>165</v>
      </c>
      <c r="C6" s="48">
        <v>0</v>
      </c>
      <c r="D6" s="48">
        <v>0.3</v>
      </c>
      <c r="E6" s="48">
        <v>0.8</v>
      </c>
      <c r="F6" s="48">
        <v>1</v>
      </c>
      <c r="G6" s="31"/>
      <c r="H6" s="48" t="str">
        <f t="shared" si="0"/>
        <v/>
      </c>
      <c r="I6" s="30">
        <f t="shared" si="1"/>
        <v>4</v>
      </c>
      <c r="J6" s="10" t="s">
        <v>177</v>
      </c>
      <c r="K6" s="10" t="s">
        <v>178</v>
      </c>
      <c r="L6" s="10" t="s">
        <v>179</v>
      </c>
      <c r="M6" s="12" t="s">
        <v>180</v>
      </c>
    </row>
    <row r="7" spans="1:13" s="28" customFormat="1">
      <c r="A7" s="127"/>
      <c r="B7" s="29" t="s">
        <v>166</v>
      </c>
      <c r="C7" s="48">
        <v>0</v>
      </c>
      <c r="D7" s="48">
        <v>0.3</v>
      </c>
      <c r="E7" s="48">
        <v>0.8</v>
      </c>
      <c r="F7" s="48">
        <v>1</v>
      </c>
      <c r="G7" s="31"/>
      <c r="H7" s="48" t="str">
        <f t="shared" si="0"/>
        <v/>
      </c>
      <c r="I7" s="30">
        <f t="shared" si="1"/>
        <v>4</v>
      </c>
      <c r="J7" s="10" t="s">
        <v>181</v>
      </c>
      <c r="K7" s="10" t="s">
        <v>182</v>
      </c>
      <c r="L7" s="10" t="s">
        <v>183</v>
      </c>
      <c r="M7" s="12" t="s">
        <v>184</v>
      </c>
    </row>
    <row r="8" spans="1:13" s="28" customFormat="1">
      <c r="A8" s="127"/>
      <c r="B8" s="29" t="s">
        <v>167</v>
      </c>
      <c r="C8" s="48">
        <v>0</v>
      </c>
      <c r="D8" s="48">
        <v>0.3</v>
      </c>
      <c r="E8" s="48">
        <v>0.8</v>
      </c>
      <c r="F8" s="48">
        <v>1</v>
      </c>
      <c r="G8" s="31"/>
      <c r="H8" s="48" t="str">
        <f t="shared" si="0"/>
        <v/>
      </c>
      <c r="I8" s="30">
        <f t="shared" si="1"/>
        <v>4</v>
      </c>
      <c r="J8" s="10" t="s">
        <v>185</v>
      </c>
      <c r="K8" s="10" t="s">
        <v>186</v>
      </c>
      <c r="L8" s="10" t="s">
        <v>187</v>
      </c>
      <c r="M8" s="12" t="s">
        <v>188</v>
      </c>
    </row>
    <row r="9" spans="1:13" s="28" customFormat="1">
      <c r="A9" s="127"/>
      <c r="B9" s="29" t="s">
        <v>168</v>
      </c>
      <c r="C9" s="48">
        <v>0</v>
      </c>
      <c r="D9" s="48">
        <v>0.3</v>
      </c>
      <c r="E9" s="48">
        <v>0.8</v>
      </c>
      <c r="F9" s="48">
        <v>1</v>
      </c>
      <c r="G9" s="31"/>
      <c r="H9" s="48" t="str">
        <f t="shared" si="0"/>
        <v/>
      </c>
      <c r="I9" s="30">
        <f t="shared" si="1"/>
        <v>4</v>
      </c>
      <c r="J9" s="10" t="s">
        <v>189</v>
      </c>
      <c r="K9" s="10" t="s">
        <v>190</v>
      </c>
      <c r="L9" s="10" t="s">
        <v>191</v>
      </c>
      <c r="M9" s="12" t="s">
        <v>192</v>
      </c>
    </row>
    <row r="10" spans="1:13" s="28" customFormat="1">
      <c r="A10" s="127"/>
      <c r="B10" s="13" t="s">
        <v>15</v>
      </c>
      <c r="C10" s="48">
        <v>0</v>
      </c>
      <c r="D10" s="48">
        <v>0.3</v>
      </c>
      <c r="E10" s="48">
        <v>0.8</v>
      </c>
      <c r="F10" s="48">
        <v>1</v>
      </c>
      <c r="G10" s="31"/>
      <c r="H10" s="48" t="str">
        <f t="shared" si="0"/>
        <v/>
      </c>
      <c r="I10" s="30">
        <f t="shared" si="1"/>
        <v>4</v>
      </c>
      <c r="J10" s="10" t="s">
        <v>193</v>
      </c>
      <c r="K10" s="10" t="s">
        <v>194</v>
      </c>
      <c r="L10" s="10" t="s">
        <v>195</v>
      </c>
      <c r="M10" s="12" t="s">
        <v>196</v>
      </c>
    </row>
    <row r="11" spans="1:13" s="37" customFormat="1">
      <c r="A11" s="127"/>
      <c r="B11" s="32" t="s">
        <v>70</v>
      </c>
      <c r="C11" s="49">
        <v>0</v>
      </c>
      <c r="D11" s="49">
        <v>0.3</v>
      </c>
      <c r="E11" s="49">
        <v>0.8</v>
      </c>
      <c r="F11" s="49">
        <v>1</v>
      </c>
      <c r="G11" s="34"/>
      <c r="H11" s="49" t="str">
        <f t="shared" si="0"/>
        <v/>
      </c>
      <c r="I11" s="33">
        <f t="shared" si="1"/>
        <v>4</v>
      </c>
      <c r="J11" s="35" t="s">
        <v>46</v>
      </c>
      <c r="K11" s="35" t="s">
        <v>47</v>
      </c>
      <c r="L11" s="35" t="s">
        <v>48</v>
      </c>
      <c r="M11" s="36" t="s">
        <v>49</v>
      </c>
    </row>
    <row r="12" spans="1:13" s="28" customFormat="1">
      <c r="A12" s="107" t="s">
        <v>160</v>
      </c>
      <c r="B12" s="10" t="s">
        <v>197</v>
      </c>
      <c r="C12" s="47">
        <v>0</v>
      </c>
      <c r="D12" s="47">
        <v>0.3</v>
      </c>
      <c r="E12" s="47">
        <v>0.8</v>
      </c>
      <c r="F12" s="47">
        <v>1</v>
      </c>
      <c r="G12" s="27"/>
      <c r="H12" s="47" t="str">
        <f t="shared" si="0"/>
        <v/>
      </c>
      <c r="I12" s="26">
        <f t="shared" si="1"/>
        <v>4</v>
      </c>
      <c r="J12" s="10" t="s">
        <v>198</v>
      </c>
      <c r="K12" s="10" t="s">
        <v>199</v>
      </c>
      <c r="L12" s="10" t="s">
        <v>200</v>
      </c>
      <c r="M12" s="12" t="s">
        <v>201</v>
      </c>
    </row>
    <row r="13" spans="1:13" s="28" customFormat="1">
      <c r="A13" s="127"/>
      <c r="B13" s="13" t="s">
        <v>16</v>
      </c>
      <c r="C13" s="48">
        <v>0</v>
      </c>
      <c r="D13" s="48">
        <v>0.3</v>
      </c>
      <c r="E13" s="48">
        <v>0.8</v>
      </c>
      <c r="F13" s="48">
        <v>1</v>
      </c>
      <c r="G13" s="31"/>
      <c r="H13" s="48" t="str">
        <f t="shared" si="0"/>
        <v/>
      </c>
      <c r="I13" s="30">
        <f t="shared" si="1"/>
        <v>4</v>
      </c>
      <c r="J13" s="10" t="s">
        <v>202</v>
      </c>
      <c r="K13" s="10" t="s">
        <v>203</v>
      </c>
      <c r="L13" s="10" t="s">
        <v>204</v>
      </c>
      <c r="M13" s="12" t="s">
        <v>205</v>
      </c>
    </row>
    <row r="14" spans="1:13" s="28" customFormat="1">
      <c r="A14" s="127"/>
      <c r="B14" s="13" t="s">
        <v>17</v>
      </c>
      <c r="C14" s="48">
        <v>0</v>
      </c>
      <c r="D14" s="48">
        <v>0.3</v>
      </c>
      <c r="E14" s="48">
        <v>0.8</v>
      </c>
      <c r="F14" s="48">
        <v>1</v>
      </c>
      <c r="G14" s="31"/>
      <c r="H14" s="48" t="str">
        <f t="shared" si="0"/>
        <v/>
      </c>
      <c r="I14" s="30">
        <f t="shared" si="1"/>
        <v>4</v>
      </c>
      <c r="J14" s="10" t="s">
        <v>206</v>
      </c>
      <c r="K14" s="10" t="s">
        <v>207</v>
      </c>
      <c r="L14" s="10" t="s">
        <v>208</v>
      </c>
      <c r="M14" s="12" t="s">
        <v>209</v>
      </c>
    </row>
    <row r="15" spans="1:13" s="28" customFormat="1">
      <c r="A15" s="127"/>
      <c r="B15" s="13" t="s">
        <v>50</v>
      </c>
      <c r="C15" s="48">
        <v>0</v>
      </c>
      <c r="D15" s="48">
        <v>0.3</v>
      </c>
      <c r="E15" s="48">
        <v>0.8</v>
      </c>
      <c r="F15" s="48">
        <v>1</v>
      </c>
      <c r="G15" s="31"/>
      <c r="H15" s="48" t="str">
        <f t="shared" si="0"/>
        <v/>
      </c>
      <c r="I15" s="30">
        <f t="shared" si="1"/>
        <v>4</v>
      </c>
      <c r="J15" s="10" t="s">
        <v>210</v>
      </c>
      <c r="K15" s="10" t="s">
        <v>211</v>
      </c>
      <c r="L15" s="10" t="s">
        <v>212</v>
      </c>
      <c r="M15" s="12" t="s">
        <v>213</v>
      </c>
    </row>
    <row r="16" spans="1:13" s="28" customFormat="1">
      <c r="A16" s="127"/>
      <c r="B16" s="13" t="s">
        <v>18</v>
      </c>
      <c r="C16" s="48">
        <v>0</v>
      </c>
      <c r="D16" s="48">
        <v>0.3</v>
      </c>
      <c r="E16" s="48">
        <v>0.8</v>
      </c>
      <c r="F16" s="48">
        <v>1</v>
      </c>
      <c r="G16" s="31"/>
      <c r="H16" s="48" t="str">
        <f t="shared" si="0"/>
        <v/>
      </c>
      <c r="I16" s="30">
        <f t="shared" si="1"/>
        <v>4</v>
      </c>
      <c r="J16" s="10" t="s">
        <v>214</v>
      </c>
      <c r="K16" s="10" t="s">
        <v>215</v>
      </c>
      <c r="L16" s="10" t="s">
        <v>216</v>
      </c>
      <c r="M16" s="12" t="s">
        <v>217</v>
      </c>
    </row>
    <row r="17" spans="1:13" s="28" customFormat="1">
      <c r="A17" s="127"/>
      <c r="B17" s="13" t="s">
        <v>19</v>
      </c>
      <c r="C17" s="48">
        <v>0</v>
      </c>
      <c r="D17" s="48">
        <v>0.3</v>
      </c>
      <c r="E17" s="48">
        <v>0.8</v>
      </c>
      <c r="F17" s="48">
        <v>1</v>
      </c>
      <c r="G17" s="31"/>
      <c r="H17" s="48" t="str">
        <f t="shared" si="0"/>
        <v/>
      </c>
      <c r="I17" s="30">
        <f t="shared" si="1"/>
        <v>4</v>
      </c>
      <c r="J17" s="10" t="s">
        <v>218</v>
      </c>
      <c r="K17" s="10" t="s">
        <v>219</v>
      </c>
      <c r="L17" s="10" t="s">
        <v>220</v>
      </c>
      <c r="M17" s="12" t="s">
        <v>221</v>
      </c>
    </row>
    <row r="18" spans="1:13" s="28" customFormat="1">
      <c r="A18" s="127"/>
      <c r="B18" s="13" t="s">
        <v>20</v>
      </c>
      <c r="C18" s="48">
        <v>0</v>
      </c>
      <c r="D18" s="48">
        <v>0.3</v>
      </c>
      <c r="E18" s="48">
        <v>0.8</v>
      </c>
      <c r="F18" s="48">
        <v>1</v>
      </c>
      <c r="G18" s="31"/>
      <c r="H18" s="48" t="str">
        <f t="shared" si="0"/>
        <v/>
      </c>
      <c r="I18" s="30">
        <f t="shared" si="1"/>
        <v>4</v>
      </c>
      <c r="J18" s="10" t="s">
        <v>222</v>
      </c>
      <c r="K18" s="10" t="s">
        <v>223</v>
      </c>
      <c r="L18" s="10" t="s">
        <v>224</v>
      </c>
      <c r="M18" s="12" t="s">
        <v>225</v>
      </c>
    </row>
    <row r="19" spans="1:13" s="28" customFormat="1">
      <c r="A19" s="107" t="s">
        <v>161</v>
      </c>
      <c r="B19" s="10" t="s">
        <v>51</v>
      </c>
      <c r="C19" s="47">
        <v>0</v>
      </c>
      <c r="D19" s="47">
        <v>0.3</v>
      </c>
      <c r="E19" s="47">
        <v>0.8</v>
      </c>
      <c r="F19" s="47">
        <v>1</v>
      </c>
      <c r="G19" s="27"/>
      <c r="H19" s="47" t="str">
        <f t="shared" si="0"/>
        <v/>
      </c>
      <c r="I19" s="26">
        <f t="shared" si="1"/>
        <v>4</v>
      </c>
      <c r="J19" s="10" t="s">
        <v>53</v>
      </c>
      <c r="K19" s="10" t="s">
        <v>54</v>
      </c>
      <c r="L19" s="10" t="s">
        <v>55</v>
      </c>
      <c r="M19" s="12" t="s">
        <v>56</v>
      </c>
    </row>
    <row r="20" spans="1:13" s="28" customFormat="1">
      <c r="A20" s="127"/>
      <c r="B20" s="13" t="s">
        <v>21</v>
      </c>
      <c r="C20" s="48">
        <v>0</v>
      </c>
      <c r="D20" s="48">
        <v>0.3</v>
      </c>
      <c r="E20" s="48">
        <v>0.8</v>
      </c>
      <c r="F20" s="48">
        <v>1</v>
      </c>
      <c r="G20" s="31"/>
      <c r="H20" s="48" t="str">
        <f t="shared" si="0"/>
        <v/>
      </c>
      <c r="I20" s="30">
        <f t="shared" si="1"/>
        <v>4</v>
      </c>
      <c r="J20" s="10" t="s">
        <v>227</v>
      </c>
      <c r="K20" s="10" t="s">
        <v>228</v>
      </c>
      <c r="L20" s="10" t="s">
        <v>229</v>
      </c>
      <c r="M20" s="12" t="s">
        <v>230</v>
      </c>
    </row>
    <row r="21" spans="1:13" s="28" customFormat="1">
      <c r="A21" s="127"/>
      <c r="B21" s="13" t="s">
        <v>22</v>
      </c>
      <c r="C21" s="48">
        <v>0</v>
      </c>
      <c r="D21" s="48">
        <v>0.3</v>
      </c>
      <c r="E21" s="48">
        <v>0.8</v>
      </c>
      <c r="F21" s="48">
        <v>1</v>
      </c>
      <c r="G21" s="31"/>
      <c r="H21" s="48" t="str">
        <f t="shared" si="0"/>
        <v/>
      </c>
      <c r="I21" s="30">
        <f t="shared" si="1"/>
        <v>4</v>
      </c>
      <c r="J21" s="10" t="s">
        <v>231</v>
      </c>
      <c r="K21" s="10" t="s">
        <v>232</v>
      </c>
      <c r="L21" s="10" t="s">
        <v>233</v>
      </c>
      <c r="M21" s="12" t="s">
        <v>234</v>
      </c>
    </row>
    <row r="22" spans="1:13" s="28" customFormat="1">
      <c r="A22" s="127"/>
      <c r="B22" s="13" t="s">
        <v>226</v>
      </c>
      <c r="C22" s="48">
        <v>0</v>
      </c>
      <c r="D22" s="48">
        <v>0.3</v>
      </c>
      <c r="E22" s="48">
        <v>0.8</v>
      </c>
      <c r="F22" s="48">
        <v>1</v>
      </c>
      <c r="G22" s="31"/>
      <c r="H22" s="48" t="str">
        <f t="shared" si="0"/>
        <v/>
      </c>
      <c r="I22" s="30">
        <f t="shared" si="1"/>
        <v>4</v>
      </c>
      <c r="J22" s="10" t="s">
        <v>235</v>
      </c>
      <c r="K22" s="10" t="s">
        <v>236</v>
      </c>
      <c r="L22" s="10" t="s">
        <v>237</v>
      </c>
      <c r="M22" s="12" t="s">
        <v>238</v>
      </c>
    </row>
    <row r="23" spans="1:13" s="28" customFormat="1">
      <c r="A23" s="127"/>
      <c r="B23" s="13" t="s">
        <v>52</v>
      </c>
      <c r="C23" s="48">
        <v>0</v>
      </c>
      <c r="D23" s="48">
        <v>0.3</v>
      </c>
      <c r="E23" s="48">
        <v>0.8</v>
      </c>
      <c r="F23" s="48">
        <v>1</v>
      </c>
      <c r="G23" s="31"/>
      <c r="H23" s="48" t="str">
        <f t="shared" si="0"/>
        <v/>
      </c>
      <c r="I23" s="30">
        <f t="shared" si="1"/>
        <v>4</v>
      </c>
      <c r="J23" s="10" t="s">
        <v>57</v>
      </c>
      <c r="K23" s="10" t="s">
        <v>58</v>
      </c>
      <c r="L23" s="10" t="s">
        <v>59</v>
      </c>
      <c r="M23" s="12" t="s">
        <v>60</v>
      </c>
    </row>
    <row r="24" spans="1:13" s="28" customFormat="1">
      <c r="A24" s="107" t="s">
        <v>162</v>
      </c>
      <c r="B24" s="10" t="s">
        <v>23</v>
      </c>
      <c r="C24" s="47">
        <v>0</v>
      </c>
      <c r="D24" s="47">
        <v>0.3</v>
      </c>
      <c r="E24" s="47">
        <v>0.8</v>
      </c>
      <c r="F24" s="47">
        <v>1</v>
      </c>
      <c r="G24" s="27"/>
      <c r="H24" s="47" t="str">
        <f>IF(G24=1,0%,IF(G24=2,30%,IF(G24=3,80%,IF(G24=4,100%,""))))</f>
        <v/>
      </c>
      <c r="I24" s="26">
        <f t="shared" si="1"/>
        <v>4</v>
      </c>
      <c r="J24" s="10" t="s">
        <v>244</v>
      </c>
      <c r="K24" s="10" t="s">
        <v>245</v>
      </c>
      <c r="L24" s="25" t="s">
        <v>246</v>
      </c>
      <c r="M24" s="12" t="s">
        <v>247</v>
      </c>
    </row>
    <row r="25" spans="1:13" s="28" customFormat="1">
      <c r="A25" s="127"/>
      <c r="B25" s="29" t="s">
        <v>239</v>
      </c>
      <c r="C25" s="48">
        <v>0</v>
      </c>
      <c r="D25" s="48">
        <v>0.3</v>
      </c>
      <c r="E25" s="48">
        <v>0.8</v>
      </c>
      <c r="F25" s="48">
        <v>1</v>
      </c>
      <c r="G25" s="31"/>
      <c r="H25" s="48" t="str">
        <f t="shared" ref="H25:H44" si="2">IF(G25=1,0%,IF(G25=2,30%,IF(G25=3,80%,IF(G25=4,100%,""))))</f>
        <v/>
      </c>
      <c r="I25" s="30">
        <f t="shared" si="1"/>
        <v>4</v>
      </c>
      <c r="J25" s="10" t="s">
        <v>248</v>
      </c>
      <c r="K25" s="10" t="s">
        <v>249</v>
      </c>
      <c r="L25" s="10" t="s">
        <v>250</v>
      </c>
      <c r="M25" s="12" t="s">
        <v>251</v>
      </c>
    </row>
    <row r="26" spans="1:13" s="28" customFormat="1">
      <c r="A26" s="127"/>
      <c r="B26" s="13" t="s">
        <v>24</v>
      </c>
      <c r="C26" s="48">
        <v>0</v>
      </c>
      <c r="D26" s="48">
        <v>0.3</v>
      </c>
      <c r="E26" s="48">
        <v>0.8</v>
      </c>
      <c r="F26" s="48">
        <v>1</v>
      </c>
      <c r="G26" s="31"/>
      <c r="H26" s="48" t="str">
        <f t="shared" si="2"/>
        <v/>
      </c>
      <c r="I26" s="30">
        <f t="shared" si="1"/>
        <v>4</v>
      </c>
      <c r="J26" s="10" t="s">
        <v>252</v>
      </c>
      <c r="K26" s="10" t="s">
        <v>253</v>
      </c>
      <c r="L26" s="10" t="s">
        <v>254</v>
      </c>
      <c r="M26" s="12" t="s">
        <v>255</v>
      </c>
    </row>
    <row r="27" spans="1:13" s="37" customFormat="1">
      <c r="A27" s="127"/>
      <c r="B27" s="32" t="s">
        <v>25</v>
      </c>
      <c r="C27" s="49">
        <v>0</v>
      </c>
      <c r="D27" s="49">
        <v>0.3</v>
      </c>
      <c r="E27" s="49">
        <v>0.8</v>
      </c>
      <c r="F27" s="49">
        <v>1</v>
      </c>
      <c r="G27" s="34"/>
      <c r="H27" s="49" t="str">
        <f t="shared" si="2"/>
        <v/>
      </c>
      <c r="I27" s="33">
        <f t="shared" si="1"/>
        <v>4</v>
      </c>
      <c r="J27" s="35" t="s">
        <v>256</v>
      </c>
      <c r="K27" s="35" t="s">
        <v>257</v>
      </c>
      <c r="L27" s="35" t="s">
        <v>258</v>
      </c>
      <c r="M27" s="36" t="s">
        <v>259</v>
      </c>
    </row>
    <row r="28" spans="1:13" s="28" customFormat="1">
      <c r="A28" s="127"/>
      <c r="B28" s="13" t="s">
        <v>26</v>
      </c>
      <c r="C28" s="48">
        <v>0</v>
      </c>
      <c r="D28" s="48">
        <v>0.3</v>
      </c>
      <c r="E28" s="48">
        <v>0.8</v>
      </c>
      <c r="F28" s="48">
        <v>1</v>
      </c>
      <c r="G28" s="31"/>
      <c r="H28" s="48" t="str">
        <f t="shared" si="2"/>
        <v/>
      </c>
      <c r="I28" s="30">
        <f t="shared" si="1"/>
        <v>4</v>
      </c>
      <c r="J28" s="10" t="s">
        <v>260</v>
      </c>
      <c r="K28" s="10" t="s">
        <v>261</v>
      </c>
      <c r="L28" s="10" t="s">
        <v>262</v>
      </c>
      <c r="M28" s="12" t="s">
        <v>263</v>
      </c>
    </row>
    <row r="29" spans="1:13" s="37" customFormat="1">
      <c r="A29" s="127"/>
      <c r="B29" s="32" t="s">
        <v>27</v>
      </c>
      <c r="C29" s="49">
        <v>0</v>
      </c>
      <c r="D29" s="49">
        <v>0.3</v>
      </c>
      <c r="E29" s="49">
        <v>0.8</v>
      </c>
      <c r="F29" s="49">
        <v>1</v>
      </c>
      <c r="G29" s="34"/>
      <c r="H29" s="49" t="str">
        <f t="shared" si="2"/>
        <v/>
      </c>
      <c r="I29" s="33">
        <f t="shared" si="1"/>
        <v>4</v>
      </c>
      <c r="J29" s="35" t="s">
        <v>264</v>
      </c>
      <c r="K29" s="35" t="s">
        <v>265</v>
      </c>
      <c r="L29" s="35" t="s">
        <v>266</v>
      </c>
      <c r="M29" s="36" t="s">
        <v>267</v>
      </c>
    </row>
    <row r="30" spans="1:13" s="28" customFormat="1">
      <c r="A30" s="127"/>
      <c r="B30" s="13" t="s">
        <v>28</v>
      </c>
      <c r="C30" s="48">
        <v>0</v>
      </c>
      <c r="D30" s="48">
        <v>0.3</v>
      </c>
      <c r="E30" s="48">
        <v>0.8</v>
      </c>
      <c r="F30" s="48">
        <v>1</v>
      </c>
      <c r="G30" s="31"/>
      <c r="H30" s="48" t="str">
        <f t="shared" si="2"/>
        <v/>
      </c>
      <c r="I30" s="30">
        <f t="shared" si="1"/>
        <v>4</v>
      </c>
      <c r="J30" s="10" t="s">
        <v>268</v>
      </c>
      <c r="K30" s="10" t="s">
        <v>269</v>
      </c>
      <c r="L30" s="10" t="s">
        <v>270</v>
      </c>
      <c r="M30" s="12" t="s">
        <v>271</v>
      </c>
    </row>
    <row r="31" spans="1:13" s="28" customFormat="1">
      <c r="A31" s="127"/>
      <c r="B31" s="13" t="s">
        <v>29</v>
      </c>
      <c r="C31" s="48">
        <v>0</v>
      </c>
      <c r="D31" s="48">
        <v>0.3</v>
      </c>
      <c r="E31" s="48">
        <v>0.8</v>
      </c>
      <c r="F31" s="48">
        <v>1</v>
      </c>
      <c r="G31" s="31"/>
      <c r="H31" s="48" t="str">
        <f t="shared" si="2"/>
        <v/>
      </c>
      <c r="I31" s="30">
        <f t="shared" si="1"/>
        <v>4</v>
      </c>
      <c r="J31" s="10" t="s">
        <v>272</v>
      </c>
      <c r="K31" s="10" t="s">
        <v>273</v>
      </c>
      <c r="L31" s="10" t="s">
        <v>274</v>
      </c>
      <c r="M31" s="12" t="s">
        <v>275</v>
      </c>
    </row>
    <row r="32" spans="1:13" s="28" customFormat="1">
      <c r="A32" s="127"/>
      <c r="B32" s="13" t="s">
        <v>240</v>
      </c>
      <c r="C32" s="48">
        <v>0</v>
      </c>
      <c r="D32" s="48">
        <v>0.3</v>
      </c>
      <c r="E32" s="48">
        <v>0.8</v>
      </c>
      <c r="F32" s="48">
        <v>1</v>
      </c>
      <c r="G32" s="31"/>
      <c r="H32" s="48" t="str">
        <f t="shared" si="2"/>
        <v/>
      </c>
      <c r="I32" s="30">
        <f t="shared" si="1"/>
        <v>4</v>
      </c>
      <c r="J32" s="10" t="s">
        <v>276</v>
      </c>
      <c r="K32" s="10" t="s">
        <v>277</v>
      </c>
      <c r="L32" s="10" t="s">
        <v>278</v>
      </c>
      <c r="M32" s="12" t="s">
        <v>279</v>
      </c>
    </row>
    <row r="33" spans="1:13" s="37" customFormat="1">
      <c r="A33" s="127"/>
      <c r="B33" s="32" t="s">
        <v>241</v>
      </c>
      <c r="C33" s="49">
        <v>0</v>
      </c>
      <c r="D33" s="49">
        <v>0.3</v>
      </c>
      <c r="E33" s="49">
        <v>0.8</v>
      </c>
      <c r="F33" s="49">
        <v>1</v>
      </c>
      <c r="G33" s="34"/>
      <c r="H33" s="49" t="str">
        <f t="shared" si="2"/>
        <v/>
      </c>
      <c r="I33" s="33">
        <f t="shared" si="1"/>
        <v>4</v>
      </c>
      <c r="J33" s="35" t="s">
        <v>280</v>
      </c>
      <c r="K33" s="35" t="s">
        <v>281</v>
      </c>
      <c r="L33" s="35" t="s">
        <v>282</v>
      </c>
      <c r="M33" s="36" t="s">
        <v>283</v>
      </c>
    </row>
    <row r="34" spans="1:13" s="37" customFormat="1">
      <c r="A34" s="127"/>
      <c r="B34" s="32" t="s">
        <v>242</v>
      </c>
      <c r="C34" s="49">
        <v>0</v>
      </c>
      <c r="D34" s="49">
        <v>0.3</v>
      </c>
      <c r="E34" s="49">
        <v>0.8</v>
      </c>
      <c r="F34" s="49">
        <v>1</v>
      </c>
      <c r="G34" s="34"/>
      <c r="H34" s="49" t="str">
        <f t="shared" si="2"/>
        <v/>
      </c>
      <c r="I34" s="33">
        <f t="shared" si="1"/>
        <v>4</v>
      </c>
      <c r="J34" s="35" t="s">
        <v>284</v>
      </c>
      <c r="K34" s="35" t="s">
        <v>285</v>
      </c>
      <c r="L34" s="35" t="s">
        <v>286</v>
      </c>
      <c r="M34" s="36" t="s">
        <v>287</v>
      </c>
    </row>
    <row r="35" spans="1:13" s="37" customFormat="1">
      <c r="A35" s="127"/>
      <c r="B35" s="32" t="s">
        <v>243</v>
      </c>
      <c r="C35" s="49">
        <v>0</v>
      </c>
      <c r="D35" s="49">
        <v>0.3</v>
      </c>
      <c r="E35" s="49">
        <v>0.8</v>
      </c>
      <c r="F35" s="49">
        <v>1</v>
      </c>
      <c r="G35" s="34"/>
      <c r="H35" s="49" t="str">
        <f t="shared" si="2"/>
        <v/>
      </c>
      <c r="I35" s="33">
        <f t="shared" si="1"/>
        <v>4</v>
      </c>
      <c r="J35" s="35" t="s">
        <v>288</v>
      </c>
      <c r="K35" s="35" t="s">
        <v>289</v>
      </c>
      <c r="L35" s="35" t="s">
        <v>290</v>
      </c>
      <c r="M35" s="36" t="s">
        <v>291</v>
      </c>
    </row>
    <row r="36" spans="1:13" s="28" customFormat="1">
      <c r="A36" s="107" t="s">
        <v>163</v>
      </c>
      <c r="B36" s="10" t="s">
        <v>30</v>
      </c>
      <c r="C36" s="47">
        <v>0</v>
      </c>
      <c r="D36" s="47">
        <v>0.3</v>
      </c>
      <c r="E36" s="47">
        <v>0.8</v>
      </c>
      <c r="F36" s="47">
        <v>1</v>
      </c>
      <c r="G36" s="27"/>
      <c r="H36" s="47" t="str">
        <f t="shared" si="2"/>
        <v/>
      </c>
      <c r="I36" s="26">
        <f t="shared" si="1"/>
        <v>4</v>
      </c>
      <c r="J36" s="10" t="s">
        <v>294</v>
      </c>
      <c r="K36" s="10" t="s">
        <v>295</v>
      </c>
      <c r="L36" s="10" t="s">
        <v>296</v>
      </c>
      <c r="M36" s="12" t="s">
        <v>297</v>
      </c>
    </row>
    <row r="37" spans="1:13" s="28" customFormat="1">
      <c r="A37" s="108"/>
      <c r="B37" s="13" t="s">
        <v>31</v>
      </c>
      <c r="C37" s="48">
        <v>0</v>
      </c>
      <c r="D37" s="48">
        <v>0.3</v>
      </c>
      <c r="E37" s="48">
        <v>0.8</v>
      </c>
      <c r="F37" s="48">
        <v>1</v>
      </c>
      <c r="G37" s="31"/>
      <c r="H37" s="48" t="str">
        <f t="shared" si="2"/>
        <v/>
      </c>
      <c r="I37" s="30">
        <f t="shared" si="1"/>
        <v>4</v>
      </c>
      <c r="J37" s="10" t="s">
        <v>298</v>
      </c>
      <c r="K37" s="10" t="s">
        <v>299</v>
      </c>
      <c r="L37" s="10" t="s">
        <v>300</v>
      </c>
      <c r="M37" s="12" t="s">
        <v>301</v>
      </c>
    </row>
    <row r="38" spans="1:13" s="28" customFormat="1">
      <c r="A38" s="108"/>
      <c r="B38" s="13" t="s">
        <v>32</v>
      </c>
      <c r="C38" s="48">
        <v>0</v>
      </c>
      <c r="D38" s="48">
        <v>0.3</v>
      </c>
      <c r="E38" s="48">
        <v>0.8</v>
      </c>
      <c r="F38" s="48">
        <v>1</v>
      </c>
      <c r="G38" s="31"/>
      <c r="H38" s="48" t="str">
        <f t="shared" si="2"/>
        <v/>
      </c>
      <c r="I38" s="30">
        <f t="shared" si="1"/>
        <v>4</v>
      </c>
      <c r="J38" s="10" t="s">
        <v>302</v>
      </c>
      <c r="K38" s="10" t="s">
        <v>303</v>
      </c>
      <c r="L38" s="10" t="s">
        <v>304</v>
      </c>
      <c r="M38" s="12" t="s">
        <v>305</v>
      </c>
    </row>
    <row r="39" spans="1:13" s="28" customFormat="1">
      <c r="A39" s="108"/>
      <c r="B39" s="13" t="s">
        <v>33</v>
      </c>
      <c r="C39" s="48">
        <v>0</v>
      </c>
      <c r="D39" s="48">
        <v>0.3</v>
      </c>
      <c r="E39" s="48">
        <v>0.8</v>
      </c>
      <c r="F39" s="48">
        <v>1</v>
      </c>
      <c r="G39" s="31"/>
      <c r="H39" s="48" t="str">
        <f t="shared" si="2"/>
        <v/>
      </c>
      <c r="I39" s="30">
        <f t="shared" si="1"/>
        <v>4</v>
      </c>
      <c r="J39" s="10" t="s">
        <v>306</v>
      </c>
      <c r="K39" s="10" t="s">
        <v>307</v>
      </c>
      <c r="L39" s="10" t="s">
        <v>308</v>
      </c>
      <c r="M39" s="12" t="s">
        <v>309</v>
      </c>
    </row>
    <row r="40" spans="1:13" s="28" customFormat="1">
      <c r="A40" s="127"/>
      <c r="B40" s="13" t="s">
        <v>34</v>
      </c>
      <c r="C40" s="48">
        <v>0</v>
      </c>
      <c r="D40" s="48">
        <v>0.3</v>
      </c>
      <c r="E40" s="48">
        <v>0.8</v>
      </c>
      <c r="F40" s="48">
        <v>1</v>
      </c>
      <c r="G40" s="31"/>
      <c r="H40" s="48" t="str">
        <f t="shared" si="2"/>
        <v/>
      </c>
      <c r="I40" s="30">
        <f t="shared" si="1"/>
        <v>4</v>
      </c>
      <c r="J40" s="10" t="s">
        <v>309</v>
      </c>
      <c r="K40" s="10" t="s">
        <v>310</v>
      </c>
      <c r="L40" s="10" t="s">
        <v>311</v>
      </c>
      <c r="M40" s="12" t="s">
        <v>312</v>
      </c>
    </row>
    <row r="41" spans="1:13" s="28" customFormat="1">
      <c r="A41" s="127"/>
      <c r="B41" s="40" t="s">
        <v>35</v>
      </c>
      <c r="C41" s="48">
        <v>0</v>
      </c>
      <c r="D41" s="48">
        <v>0.3</v>
      </c>
      <c r="E41" s="48">
        <v>0.8</v>
      </c>
      <c r="F41" s="48">
        <v>1</v>
      </c>
      <c r="G41" s="31"/>
      <c r="H41" s="48" t="str">
        <f t="shared" si="2"/>
        <v/>
      </c>
      <c r="I41" s="30">
        <f t="shared" si="1"/>
        <v>4</v>
      </c>
      <c r="J41" s="10" t="s">
        <v>313</v>
      </c>
      <c r="K41" s="10" t="s">
        <v>314</v>
      </c>
      <c r="L41" s="10" t="s">
        <v>315</v>
      </c>
      <c r="M41" s="12" t="s">
        <v>316</v>
      </c>
    </row>
    <row r="42" spans="1:13" s="37" customFormat="1">
      <c r="A42" s="127"/>
      <c r="B42" s="32" t="s">
        <v>36</v>
      </c>
      <c r="C42" s="49">
        <v>0</v>
      </c>
      <c r="D42" s="49">
        <v>0.3</v>
      </c>
      <c r="E42" s="49">
        <v>0.8</v>
      </c>
      <c r="F42" s="49">
        <v>1</v>
      </c>
      <c r="G42" s="34"/>
      <c r="H42" s="49" t="str">
        <f t="shared" si="2"/>
        <v/>
      </c>
      <c r="I42" s="33">
        <f t="shared" si="1"/>
        <v>4</v>
      </c>
      <c r="J42" s="35" t="s">
        <v>317</v>
      </c>
      <c r="K42" s="35" t="s">
        <v>318</v>
      </c>
      <c r="L42" s="35" t="s">
        <v>319</v>
      </c>
      <c r="M42" s="36" t="s">
        <v>320</v>
      </c>
    </row>
    <row r="43" spans="1:13" s="28" customFormat="1">
      <c r="A43" s="127"/>
      <c r="B43" s="29" t="s">
        <v>292</v>
      </c>
      <c r="C43" s="48">
        <v>0</v>
      </c>
      <c r="D43" s="48">
        <v>0.3</v>
      </c>
      <c r="E43" s="48">
        <v>0.8</v>
      </c>
      <c r="F43" s="48">
        <v>1</v>
      </c>
      <c r="G43" s="31"/>
      <c r="H43" s="48" t="str">
        <f t="shared" si="2"/>
        <v/>
      </c>
      <c r="I43" s="30">
        <f>4-G43</f>
        <v>4</v>
      </c>
      <c r="J43" s="10" t="s">
        <v>321</v>
      </c>
      <c r="K43" s="10" t="s">
        <v>0</v>
      </c>
      <c r="L43" s="10" t="s">
        <v>1</v>
      </c>
      <c r="M43" s="12" t="s">
        <v>2</v>
      </c>
    </row>
    <row r="44" spans="1:13" s="28" customFormat="1">
      <c r="A44" s="127"/>
      <c r="B44" s="29" t="s">
        <v>293</v>
      </c>
      <c r="C44" s="48">
        <v>0</v>
      </c>
      <c r="D44" s="48">
        <v>0.3</v>
      </c>
      <c r="E44" s="48">
        <v>0.8</v>
      </c>
      <c r="F44" s="48">
        <v>1</v>
      </c>
      <c r="G44" s="31"/>
      <c r="H44" s="48" t="str">
        <f t="shared" si="2"/>
        <v/>
      </c>
      <c r="I44" s="30">
        <f t="shared" si="1"/>
        <v>4</v>
      </c>
      <c r="J44" s="10" t="s">
        <v>3</v>
      </c>
      <c r="K44" s="10" t="s">
        <v>4</v>
      </c>
      <c r="L44" s="10" t="s">
        <v>5</v>
      </c>
      <c r="M44" s="12" t="s">
        <v>6</v>
      </c>
    </row>
  </sheetData>
  <mergeCells count="5">
    <mergeCell ref="A36:A44"/>
    <mergeCell ref="A3:A11"/>
    <mergeCell ref="A12:A18"/>
    <mergeCell ref="A19:A23"/>
    <mergeCell ref="A24:A35"/>
  </mergeCells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Plan23">
    <tabColor theme="8" tint="0.39997558519241921"/>
  </sheetPr>
  <dimension ref="A1:G7"/>
  <sheetViews>
    <sheetView zoomScale="90" zoomScaleNormal="90" workbookViewId="0">
      <selection activeCell="F3" sqref="F3:F7"/>
    </sheetView>
  </sheetViews>
  <sheetFormatPr defaultRowHeight="15"/>
  <cols>
    <col min="1" max="1" width="40.85546875" style="3" bestFit="1" customWidth="1"/>
    <col min="2" max="7" width="20.7109375" style="3" customWidth="1"/>
    <col min="8" max="16384" width="9.140625" style="3"/>
  </cols>
  <sheetData>
    <row r="1" spans="1:7" ht="30">
      <c r="A1" s="5" t="s">
        <v>7</v>
      </c>
      <c r="B1" s="6" t="s">
        <v>107</v>
      </c>
      <c r="C1" s="6" t="s">
        <v>146</v>
      </c>
      <c r="D1" s="6" t="s">
        <v>145</v>
      </c>
      <c r="E1" s="6" t="s">
        <v>144</v>
      </c>
      <c r="F1" s="8" t="s">
        <v>13</v>
      </c>
      <c r="G1" s="15" t="s">
        <v>108</v>
      </c>
    </row>
    <row r="2" spans="1:7">
      <c r="A2" s="1"/>
      <c r="B2" s="1"/>
      <c r="C2" s="1"/>
      <c r="D2" s="1"/>
      <c r="E2" s="1"/>
      <c r="F2" s="2"/>
      <c r="G2" s="2"/>
    </row>
    <row r="3" spans="1:7">
      <c r="A3" s="38" t="s">
        <v>8</v>
      </c>
      <c r="B3" s="50">
        <v>0</v>
      </c>
      <c r="C3" s="50">
        <v>0.3</v>
      </c>
      <c r="D3" s="50">
        <v>0.8</v>
      </c>
      <c r="E3" s="50">
        <v>1</v>
      </c>
      <c r="F3" s="50" t="e">
        <f ca="1">AVERAGE(Consolida_Dimensões_Analítico!$H$3:$H$11)</f>
        <v>#DIV/0!</v>
      </c>
      <c r="G3" s="50" t="e">
        <f>1-F3</f>
        <v>#DIV/0!</v>
      </c>
    </row>
    <row r="4" spans="1:7">
      <c r="A4" s="39" t="s">
        <v>9</v>
      </c>
      <c r="B4" s="51">
        <v>0</v>
      </c>
      <c r="C4" s="51">
        <v>0.3</v>
      </c>
      <c r="D4" s="51">
        <v>0.8</v>
      </c>
      <c r="E4" s="51">
        <v>1</v>
      </c>
      <c r="F4" s="51" t="e">
        <f ca="1">AVERAGE(Consolida_Dimensões_Analítico!$H$12:$H$18)</f>
        <v>#DIV/0!</v>
      </c>
      <c r="G4" s="51" t="e">
        <f>1-F4</f>
        <v>#DIV/0!</v>
      </c>
    </row>
    <row r="5" spans="1:7">
      <c r="A5" s="38" t="s">
        <v>10</v>
      </c>
      <c r="B5" s="50">
        <v>0</v>
      </c>
      <c r="C5" s="50">
        <v>0.3</v>
      </c>
      <c r="D5" s="50">
        <v>0.8</v>
      </c>
      <c r="E5" s="50">
        <v>1</v>
      </c>
      <c r="F5" s="50" t="e">
        <f ca="1">AVERAGE(Consolida_Dimensões_Analítico!$H$19:$H$23)</f>
        <v>#DIV/0!</v>
      </c>
      <c r="G5" s="50" t="e">
        <f>1-F5</f>
        <v>#DIV/0!</v>
      </c>
    </row>
    <row r="6" spans="1:7">
      <c r="A6" s="39" t="s">
        <v>11</v>
      </c>
      <c r="B6" s="51">
        <v>0</v>
      </c>
      <c r="C6" s="51">
        <v>0.3</v>
      </c>
      <c r="D6" s="51">
        <v>0.8</v>
      </c>
      <c r="E6" s="51">
        <v>1</v>
      </c>
      <c r="F6" s="51" t="e">
        <f ca="1">AVERAGE(Consolida_Dimensões_Analítico!$H$24:$H$35)</f>
        <v>#DIV/0!</v>
      </c>
      <c r="G6" s="51" t="e">
        <f>1-F6</f>
        <v>#DIV/0!</v>
      </c>
    </row>
    <row r="7" spans="1:7">
      <c r="A7" s="38" t="s">
        <v>12</v>
      </c>
      <c r="B7" s="50">
        <v>0</v>
      </c>
      <c r="C7" s="50">
        <v>0.3</v>
      </c>
      <c r="D7" s="50">
        <v>0.8</v>
      </c>
      <c r="E7" s="50">
        <v>1</v>
      </c>
      <c r="F7" s="50" t="e">
        <f ca="1">AVERAGE(Consolida_Dimensões_Analítico!$H$36:$H$44)</f>
        <v>#DIV/0!</v>
      </c>
      <c r="G7" s="50" t="e">
        <f>1-F7</f>
        <v>#DIV/0!</v>
      </c>
    </row>
  </sheetData>
  <phoneticPr fontId="0" type="noConversion"/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Plan10">
    <tabColor theme="8" tint="-0.499984740745262"/>
  </sheetPr>
  <dimension ref="B8:C23"/>
  <sheetViews>
    <sheetView topLeftCell="E1" zoomScaleNormal="100" workbookViewId="0">
      <selection activeCell="X12" sqref="X12"/>
    </sheetView>
  </sheetViews>
  <sheetFormatPr defaultRowHeight="15"/>
  <cols>
    <col min="1" max="16384" width="9.140625" style="3"/>
  </cols>
  <sheetData>
    <row r="8" ht="51.75" customHeight="1"/>
    <row r="12" ht="45.75" customHeight="1"/>
    <row r="14" ht="49.5" customHeight="1"/>
    <row r="15" ht="18.75" customHeight="1"/>
    <row r="23" spans="2:3">
      <c r="B23" s="59" t="s">
        <v>68</v>
      </c>
      <c r="C23" s="81" t="e">
        <f ca="1">AVERAGE(Consolida_Dimensões_Sintético!$F$3:$F$7)</f>
        <v>#DIV/0!</v>
      </c>
    </row>
  </sheetData>
  <phoneticPr fontId="0" type="noConversion"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Plan11">
    <tabColor theme="8" tint="-0.499984740745262"/>
  </sheetPr>
  <dimension ref="B63:C63"/>
  <sheetViews>
    <sheetView topLeftCell="A2" zoomScale="40" zoomScaleNormal="40" workbookViewId="0">
      <selection activeCell="C62" sqref="C62"/>
    </sheetView>
  </sheetViews>
  <sheetFormatPr defaultRowHeight="15"/>
  <cols>
    <col min="1" max="1" width="9.140625" style="3"/>
    <col min="2" max="2" width="16.7109375" style="3" customWidth="1"/>
    <col min="3" max="3" width="17.5703125" style="3" customWidth="1"/>
    <col min="4" max="16384" width="9.140625" style="3"/>
  </cols>
  <sheetData>
    <row r="63" spans="2:3" ht="21">
      <c r="B63" s="80" t="s">
        <v>68</v>
      </c>
      <c r="C63" s="82" t="e">
        <f ca="1">AVERAGE(Consolida_Dimensões_Sintético!F3:F7)</f>
        <v>#DIV/0!</v>
      </c>
    </row>
  </sheetData>
  <phoneticPr fontId="0" type="noConversion"/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Plan3"/>
  <dimension ref="A1:V43"/>
  <sheetViews>
    <sheetView showGridLines="0" zoomScale="90" zoomScaleNormal="90" workbookViewId="0">
      <selection activeCell="R11" sqref="R11"/>
    </sheetView>
  </sheetViews>
  <sheetFormatPr defaultRowHeight="15"/>
  <cols>
    <col min="1" max="1" width="2.140625" style="68" customWidth="1"/>
    <col min="2" max="2" width="2.42578125" style="68" customWidth="1"/>
    <col min="3" max="3" width="11.28515625" style="68" customWidth="1"/>
    <col min="4" max="4" width="20.85546875" style="68" customWidth="1"/>
    <col min="5" max="5" width="23.85546875" style="68" customWidth="1"/>
    <col min="6" max="6" width="13.28515625" style="68" customWidth="1"/>
    <col min="7" max="7" width="12.5703125" style="68" bestFit="1" customWidth="1"/>
    <col min="8" max="8" width="5.140625" style="68" customWidth="1"/>
    <col min="9" max="9" width="10.42578125" style="68" customWidth="1"/>
    <col min="10" max="10" width="13.85546875" style="68" customWidth="1"/>
    <col min="11" max="14" width="9.140625" style="68"/>
    <col min="15" max="15" width="10.28515625" style="83" customWidth="1"/>
    <col min="16" max="16" width="9.42578125" style="73" bestFit="1" customWidth="1"/>
    <col min="17" max="17" width="13.42578125" style="73" bestFit="1" customWidth="1"/>
    <col min="18" max="18" width="12.42578125" style="73" bestFit="1" customWidth="1"/>
    <col min="19" max="19" width="12.5703125" style="73" bestFit="1" customWidth="1"/>
    <col min="20" max="20" width="13.42578125" style="73" bestFit="1" customWidth="1"/>
    <col min="21" max="21" width="9.140625" style="99"/>
    <col min="22" max="16384" width="9.140625" style="68"/>
  </cols>
  <sheetData>
    <row r="1" spans="1:22" ht="15.75">
      <c r="G1" s="74"/>
      <c r="H1" s="74"/>
      <c r="I1" s="74"/>
      <c r="J1" s="74"/>
      <c r="K1" s="74"/>
    </row>
    <row r="2" spans="1:22" ht="18.75">
      <c r="F2" s="86" t="s">
        <v>81</v>
      </c>
      <c r="H2" s="74"/>
      <c r="I2" s="74"/>
      <c r="J2" s="74"/>
      <c r="K2" s="74"/>
      <c r="L2" s="75"/>
      <c r="M2" s="75"/>
    </row>
    <row r="3" spans="1:22">
      <c r="A3" s="69"/>
      <c r="B3" s="69"/>
      <c r="C3" s="69"/>
      <c r="D3" s="69"/>
      <c r="E3" s="69"/>
      <c r="F3" s="69"/>
      <c r="V3" s="69"/>
    </row>
    <row r="4" spans="1:22">
      <c r="C4" s="77" t="s">
        <v>64</v>
      </c>
      <c r="D4" s="52">
        <f ca="1">AVERAGE(Consolida_PE!P3:P32)</f>
        <v>0.57333333333333358</v>
      </c>
      <c r="E4" s="53"/>
      <c r="F4" s="53"/>
      <c r="G4" s="53"/>
      <c r="H4" s="53"/>
      <c r="I4" s="53"/>
      <c r="J4" s="53"/>
      <c r="K4" s="53"/>
      <c r="L4" s="53"/>
      <c r="M4" s="53"/>
      <c r="N4" s="53"/>
      <c r="O4" s="100"/>
      <c r="Q4" s="73" t="b">
        <v>1</v>
      </c>
      <c r="V4" s="69"/>
    </row>
    <row r="5" spans="1:22">
      <c r="C5" s="78" t="s">
        <v>65</v>
      </c>
      <c r="D5" s="54" t="e">
        <f ca="1">AVERAGE(Consolida_Dimensões_Sintético!F3:F7)</f>
        <v>#DIV/0!</v>
      </c>
      <c r="E5" s="55"/>
      <c r="F5" s="55"/>
      <c r="G5" s="55"/>
      <c r="H5" s="55"/>
      <c r="I5" s="55"/>
      <c r="J5" s="55"/>
      <c r="K5" s="55"/>
      <c r="L5" s="55"/>
      <c r="M5" s="55"/>
      <c r="N5" s="55"/>
      <c r="O5" s="101"/>
      <c r="P5" s="73">
        <v>1</v>
      </c>
      <c r="Q5" s="73" t="b">
        <v>0</v>
      </c>
      <c r="R5" s="73" t="b">
        <v>0</v>
      </c>
      <c r="S5" s="73" t="b">
        <v>1</v>
      </c>
      <c r="T5" s="73" t="b">
        <v>0</v>
      </c>
      <c r="V5" s="69"/>
    </row>
    <row r="6" spans="1:22">
      <c r="C6" s="79" t="s">
        <v>66</v>
      </c>
      <c r="D6" s="54">
        <f>AVERAGE(O7:O24)</f>
        <v>0.46111111111111114</v>
      </c>
      <c r="E6" s="55"/>
      <c r="F6" s="55"/>
      <c r="G6" s="55"/>
      <c r="H6" s="55"/>
      <c r="I6" s="55"/>
      <c r="J6" s="55"/>
      <c r="K6" s="55"/>
      <c r="L6" s="55"/>
      <c r="M6" s="55"/>
      <c r="N6" s="55"/>
      <c r="O6" s="101"/>
      <c r="Q6" s="94">
        <v>0</v>
      </c>
      <c r="R6" s="94">
        <v>0.33</v>
      </c>
      <c r="S6" s="94">
        <v>0.66</v>
      </c>
      <c r="T6" s="94">
        <v>1</v>
      </c>
      <c r="V6" s="69"/>
    </row>
    <row r="7" spans="1:22" ht="16.5" customHeight="1">
      <c r="C7" s="128" t="s">
        <v>77</v>
      </c>
      <c r="D7" s="129"/>
      <c r="E7" s="129"/>
      <c r="F7" s="129"/>
      <c r="G7" s="129"/>
      <c r="H7" s="129"/>
      <c r="I7" s="129"/>
      <c r="J7" s="129"/>
      <c r="K7" s="129"/>
      <c r="L7" s="129"/>
      <c r="M7" s="90"/>
      <c r="N7" s="62"/>
      <c r="O7" s="95">
        <f>SUMIF(Q5:T5,Q4,Q6:T6)</f>
        <v>0.66</v>
      </c>
      <c r="P7" s="73">
        <v>2</v>
      </c>
      <c r="Q7" s="73" t="b">
        <v>0</v>
      </c>
      <c r="R7" s="73" t="b">
        <v>0</v>
      </c>
      <c r="S7" s="73" t="b">
        <v>1</v>
      </c>
      <c r="T7" s="73" t="b">
        <v>0</v>
      </c>
      <c r="V7" s="69"/>
    </row>
    <row r="8" spans="1:22" ht="16.5" customHeight="1">
      <c r="C8" s="87"/>
      <c r="D8" s="88" t="s">
        <v>96</v>
      </c>
      <c r="E8" s="88"/>
      <c r="F8" s="88"/>
      <c r="G8" s="88"/>
      <c r="H8" s="88"/>
      <c r="I8" s="88"/>
      <c r="J8" s="88"/>
      <c r="K8" s="88"/>
      <c r="L8" s="88"/>
      <c r="M8" s="88"/>
      <c r="N8" s="62"/>
      <c r="O8" s="95">
        <f>SUMIF(Q7:T7,Q4,Q8:T8)</f>
        <v>0.66</v>
      </c>
      <c r="Q8" s="94">
        <v>0</v>
      </c>
      <c r="R8" s="94">
        <v>0.33</v>
      </c>
      <c r="S8" s="94">
        <v>0.66</v>
      </c>
      <c r="T8" s="94">
        <v>1</v>
      </c>
      <c r="V8" s="69"/>
    </row>
    <row r="9" spans="1:22" ht="16.5" customHeight="1">
      <c r="C9" s="130" t="s">
        <v>78</v>
      </c>
      <c r="D9" s="131"/>
      <c r="E9" s="131"/>
      <c r="F9" s="131"/>
      <c r="G9" s="131"/>
      <c r="H9" s="131"/>
      <c r="I9" s="131"/>
      <c r="J9" s="131"/>
      <c r="K9" s="131"/>
      <c r="L9" s="62"/>
      <c r="M9" s="62"/>
      <c r="N9" s="62"/>
      <c r="O9" s="95">
        <f>SUMIF(Q9:T9,Q4,Q10:T10)</f>
        <v>0.33</v>
      </c>
      <c r="P9" s="73">
        <v>3</v>
      </c>
      <c r="Q9" s="73" t="b">
        <v>0</v>
      </c>
      <c r="R9" s="73" t="b">
        <v>1</v>
      </c>
      <c r="S9" s="73" t="b">
        <v>0</v>
      </c>
      <c r="T9" s="73" t="b">
        <v>0</v>
      </c>
      <c r="V9" s="69"/>
    </row>
    <row r="10" spans="1:22" ht="16.5" customHeight="1">
      <c r="C10" s="87"/>
      <c r="D10" s="88" t="s">
        <v>84</v>
      </c>
      <c r="E10" s="88"/>
      <c r="F10" s="88" t="s">
        <v>82</v>
      </c>
      <c r="G10" s="96"/>
      <c r="H10" s="88"/>
      <c r="I10" s="88" t="s">
        <v>83</v>
      </c>
      <c r="J10" s="96"/>
      <c r="K10" s="88"/>
      <c r="L10" s="62"/>
      <c r="M10" s="62"/>
      <c r="N10" s="62"/>
      <c r="O10" s="95">
        <f>SUMIF(Q11:R11,Q4,Q12:R12)</f>
        <v>0</v>
      </c>
      <c r="Q10" s="94">
        <v>0</v>
      </c>
      <c r="R10" s="94">
        <v>0.33</v>
      </c>
      <c r="S10" s="94">
        <v>0.66</v>
      </c>
      <c r="T10" s="94">
        <v>1</v>
      </c>
      <c r="V10" s="69"/>
    </row>
    <row r="11" spans="1:22" ht="16.5" customHeight="1">
      <c r="C11" s="87"/>
      <c r="D11" s="88" t="s">
        <v>85</v>
      </c>
      <c r="E11" s="88"/>
      <c r="F11" s="88" t="s">
        <v>82</v>
      </c>
      <c r="G11" s="96"/>
      <c r="H11" s="88"/>
      <c r="I11" s="88" t="s">
        <v>83</v>
      </c>
      <c r="J11" s="96"/>
      <c r="K11" s="88"/>
      <c r="L11" s="62"/>
      <c r="M11" s="62"/>
      <c r="N11" s="62"/>
      <c r="O11" s="95">
        <f>SUMIF(Q13:R13,Q4,Q14:R14)</f>
        <v>1</v>
      </c>
      <c r="P11" s="73">
        <v>4</v>
      </c>
      <c r="Q11" s="73" t="b">
        <v>1</v>
      </c>
      <c r="R11" s="73" t="b">
        <v>0</v>
      </c>
      <c r="V11" s="69"/>
    </row>
    <row r="12" spans="1:22" ht="16.5" customHeight="1">
      <c r="C12" s="87"/>
      <c r="D12" s="88" t="s">
        <v>86</v>
      </c>
      <c r="E12" s="88"/>
      <c r="F12" s="88" t="s">
        <v>82</v>
      </c>
      <c r="G12" s="97"/>
      <c r="H12" s="88"/>
      <c r="I12" s="88" t="s">
        <v>83</v>
      </c>
      <c r="J12" s="97"/>
      <c r="K12" s="88"/>
      <c r="L12" s="62"/>
      <c r="M12" s="62"/>
      <c r="N12" s="62"/>
      <c r="O12" s="95">
        <f>SUMIF(Q15:R15,Q4,Q16:R16)</f>
        <v>0</v>
      </c>
      <c r="Q12" s="94">
        <v>0</v>
      </c>
      <c r="R12" s="94">
        <v>1</v>
      </c>
      <c r="S12" s="94"/>
      <c r="T12" s="94"/>
      <c r="V12" s="69"/>
    </row>
    <row r="13" spans="1:22" ht="16.5" customHeight="1">
      <c r="C13" s="87"/>
      <c r="D13" s="88" t="s">
        <v>87</v>
      </c>
      <c r="E13" s="88"/>
      <c r="F13" s="88" t="s">
        <v>82</v>
      </c>
      <c r="G13" s="96"/>
      <c r="H13" s="88"/>
      <c r="I13" s="88" t="s">
        <v>83</v>
      </c>
      <c r="J13" s="96"/>
      <c r="K13" s="88"/>
      <c r="L13" s="62"/>
      <c r="M13" s="62"/>
      <c r="N13" s="62"/>
      <c r="O13" s="95">
        <f>SUMIF(Q17:R17,Q4,Q18:R18)</f>
        <v>0</v>
      </c>
      <c r="P13" s="73">
        <v>5</v>
      </c>
      <c r="Q13" s="73" t="b">
        <v>1</v>
      </c>
      <c r="R13" s="73" t="b">
        <v>1</v>
      </c>
      <c r="V13" s="69"/>
    </row>
    <row r="14" spans="1:22" ht="16.5" customHeight="1">
      <c r="C14" s="87"/>
      <c r="D14" s="88" t="s">
        <v>88</v>
      </c>
      <c r="E14" s="88"/>
      <c r="F14" s="88" t="s">
        <v>82</v>
      </c>
      <c r="G14" s="98" t="s">
        <v>102</v>
      </c>
      <c r="H14" s="88"/>
      <c r="I14" s="88" t="s">
        <v>83</v>
      </c>
      <c r="J14" s="98" t="s">
        <v>103</v>
      </c>
      <c r="K14" s="88"/>
      <c r="L14" s="62"/>
      <c r="M14" s="62"/>
      <c r="N14" s="62"/>
      <c r="O14" s="95">
        <f>SUMIF(Q19:R19,Q4,Q20:R20)</f>
        <v>1</v>
      </c>
      <c r="Q14" s="94">
        <v>0</v>
      </c>
      <c r="R14" s="94">
        <v>1</v>
      </c>
      <c r="S14" s="94"/>
      <c r="T14" s="94"/>
      <c r="V14" s="69"/>
    </row>
    <row r="15" spans="1:22" ht="16.5" customHeight="1">
      <c r="C15" s="87"/>
      <c r="D15" s="88" t="s">
        <v>89</v>
      </c>
      <c r="E15" s="88"/>
      <c r="F15" s="88" t="s">
        <v>82</v>
      </c>
      <c r="G15" s="96"/>
      <c r="H15" s="88"/>
      <c r="I15" s="88" t="s">
        <v>83</v>
      </c>
      <c r="J15" s="96"/>
      <c r="K15" s="88"/>
      <c r="L15" s="62"/>
      <c r="M15" s="62"/>
      <c r="N15" s="62"/>
      <c r="O15" s="95">
        <f>SUMIF(Q21:R21,Q4,Q22:R22)</f>
        <v>0</v>
      </c>
      <c r="P15" s="73">
        <v>6</v>
      </c>
      <c r="Q15" s="73" t="b">
        <v>1</v>
      </c>
      <c r="R15" s="73" t="b">
        <v>0</v>
      </c>
      <c r="V15" s="69"/>
    </row>
    <row r="16" spans="1:22" ht="16.5" customHeight="1">
      <c r="C16" s="87"/>
      <c r="D16" s="88" t="s">
        <v>90</v>
      </c>
      <c r="E16" s="88"/>
      <c r="F16" s="88" t="s">
        <v>82</v>
      </c>
      <c r="G16" s="98"/>
      <c r="H16" s="88"/>
      <c r="I16" s="88" t="s">
        <v>83</v>
      </c>
      <c r="J16" s="98"/>
      <c r="K16" s="88"/>
      <c r="L16" s="62"/>
      <c r="M16" s="62"/>
      <c r="N16" s="62"/>
      <c r="O16" s="95">
        <f>SUMIF(Q23:R23,Q4,Q25:R25)</f>
        <v>0</v>
      </c>
      <c r="Q16" s="94">
        <v>0</v>
      </c>
      <c r="R16" s="94">
        <v>1</v>
      </c>
      <c r="S16" s="94"/>
      <c r="T16" s="94"/>
      <c r="V16" s="69"/>
    </row>
    <row r="17" spans="3:22" ht="16.5" customHeight="1">
      <c r="C17" s="87"/>
      <c r="D17" s="88" t="s">
        <v>91</v>
      </c>
      <c r="E17" s="88"/>
      <c r="F17" s="88"/>
      <c r="G17" s="88"/>
      <c r="H17" s="88"/>
      <c r="I17" s="88"/>
      <c r="J17" s="88"/>
      <c r="K17" s="88"/>
      <c r="L17" s="62"/>
      <c r="M17" s="62"/>
      <c r="N17" s="62"/>
      <c r="O17" s="95">
        <f>SUMIF(Q26:R26,Q4,P27:Q27)</f>
        <v>1</v>
      </c>
      <c r="P17" s="73">
        <v>7</v>
      </c>
      <c r="Q17" s="73" t="b">
        <v>1</v>
      </c>
      <c r="R17" s="73" t="b">
        <v>0</v>
      </c>
      <c r="V17" s="69"/>
    </row>
    <row r="18" spans="3:22" ht="16.5" customHeight="1">
      <c r="C18" s="130" t="s">
        <v>79</v>
      </c>
      <c r="D18" s="131"/>
      <c r="E18" s="131"/>
      <c r="F18" s="131"/>
      <c r="G18" s="131"/>
      <c r="H18" s="131"/>
      <c r="I18" s="131"/>
      <c r="J18" s="131"/>
      <c r="K18" s="131"/>
      <c r="L18" s="62"/>
      <c r="M18" s="62"/>
      <c r="N18" s="62"/>
      <c r="O18" s="95">
        <f>SUMIF(P28:S28,Q4,P29:S29)</f>
        <v>0.66</v>
      </c>
      <c r="Q18" s="94">
        <v>0</v>
      </c>
      <c r="R18" s="94">
        <v>1</v>
      </c>
      <c r="S18" s="94"/>
      <c r="T18" s="94"/>
      <c r="V18" s="69"/>
    </row>
    <row r="19" spans="3:22" ht="16.5" customHeight="1">
      <c r="C19" s="87"/>
      <c r="D19" s="88" t="s">
        <v>92</v>
      </c>
      <c r="E19" s="88"/>
      <c r="F19" s="88"/>
      <c r="G19" s="88"/>
      <c r="H19" s="88"/>
      <c r="I19" s="88"/>
      <c r="J19" s="88"/>
      <c r="K19" s="88"/>
      <c r="L19" s="62"/>
      <c r="M19" s="62"/>
      <c r="N19" s="62"/>
      <c r="O19" s="95">
        <f>SUMIF(P30:S30,Q4,Q31:T31)</f>
        <v>0.66</v>
      </c>
      <c r="P19" s="73">
        <v>8</v>
      </c>
      <c r="Q19" s="73" t="b">
        <v>0</v>
      </c>
      <c r="R19" s="73" t="b">
        <v>1</v>
      </c>
      <c r="V19" s="69"/>
    </row>
    <row r="20" spans="3:22" ht="16.5" customHeight="1">
      <c r="C20" s="87"/>
      <c r="D20" s="88" t="s">
        <v>93</v>
      </c>
      <c r="E20" s="88"/>
      <c r="F20" s="88" t="s">
        <v>82</v>
      </c>
      <c r="G20" s="89"/>
      <c r="H20" s="88"/>
      <c r="I20" s="88" t="s">
        <v>83</v>
      </c>
      <c r="J20" s="89">
        <v>1000</v>
      </c>
      <c r="K20" s="88"/>
      <c r="L20" s="62"/>
      <c r="M20" s="62"/>
      <c r="N20" s="62"/>
      <c r="O20" s="95">
        <f>SUMIF(Q32:R32,Q4,Q33:R33)</f>
        <v>1</v>
      </c>
      <c r="Q20" s="94">
        <v>0</v>
      </c>
      <c r="R20" s="94">
        <v>1</v>
      </c>
      <c r="S20" s="94"/>
      <c r="T20" s="94"/>
      <c r="V20" s="69"/>
    </row>
    <row r="21" spans="3:22" ht="16.5" customHeight="1">
      <c r="C21" s="130" t="s">
        <v>80</v>
      </c>
      <c r="D21" s="131"/>
      <c r="E21" s="131"/>
      <c r="F21" s="131"/>
      <c r="G21" s="131"/>
      <c r="H21" s="131"/>
      <c r="I21" s="131"/>
      <c r="J21" s="131"/>
      <c r="K21" s="131"/>
      <c r="L21" s="62"/>
      <c r="M21" s="62"/>
      <c r="N21" s="62"/>
      <c r="O21" s="95">
        <f>SUMIF(Q34:T34,Q4,Q35:T35)</f>
        <v>0</v>
      </c>
      <c r="P21" s="73">
        <v>9</v>
      </c>
      <c r="Q21" s="73" t="b">
        <v>1</v>
      </c>
      <c r="R21" s="73" t="b">
        <v>0</v>
      </c>
      <c r="V21" s="69"/>
    </row>
    <row r="22" spans="3:22" ht="16.5" customHeight="1">
      <c r="C22" s="63"/>
      <c r="D22" s="64" t="s">
        <v>94</v>
      </c>
      <c r="E22" s="64"/>
      <c r="F22" s="88" t="s">
        <v>82</v>
      </c>
      <c r="G22" s="89"/>
      <c r="H22" s="88"/>
      <c r="I22" s="88" t="s">
        <v>83</v>
      </c>
      <c r="J22" s="89">
        <v>3500</v>
      </c>
      <c r="K22" s="64"/>
      <c r="L22" s="62"/>
      <c r="M22" s="62"/>
      <c r="N22" s="62"/>
      <c r="O22" s="95">
        <f>SUMIF(Q36:R36,Q4,Q37:R37)</f>
        <v>1</v>
      </c>
      <c r="Q22" s="94">
        <v>0</v>
      </c>
      <c r="R22" s="94">
        <v>1</v>
      </c>
      <c r="S22" s="94"/>
      <c r="T22" s="94"/>
      <c r="V22" s="69"/>
    </row>
    <row r="23" spans="3:22" ht="16.5" customHeight="1">
      <c r="C23" s="63"/>
      <c r="D23" s="64" t="s">
        <v>95</v>
      </c>
      <c r="E23" s="64"/>
      <c r="F23" s="88" t="s">
        <v>82</v>
      </c>
      <c r="G23" s="91"/>
      <c r="H23" s="88"/>
      <c r="I23" s="88" t="s">
        <v>83</v>
      </c>
      <c r="J23" s="91"/>
      <c r="K23" s="64"/>
      <c r="L23" s="62"/>
      <c r="M23" s="62"/>
      <c r="N23" s="62"/>
      <c r="O23" s="95">
        <f>SUMIF(Q38:R38,Q4,Q39:R39)</f>
        <v>0</v>
      </c>
      <c r="P23" s="73">
        <v>10</v>
      </c>
      <c r="Q23" s="73" t="b">
        <v>1</v>
      </c>
      <c r="R23" s="73" t="b">
        <v>0</v>
      </c>
      <c r="V23" s="69"/>
    </row>
    <row r="24" spans="3:22" ht="16.5" customHeight="1">
      <c r="C24" s="63" t="s">
        <v>97</v>
      </c>
      <c r="D24" s="64"/>
      <c r="E24" s="64"/>
      <c r="F24" s="88"/>
      <c r="G24" s="92"/>
      <c r="H24" s="88"/>
      <c r="I24" s="88"/>
      <c r="J24" s="92"/>
      <c r="K24" s="64"/>
      <c r="L24" s="62"/>
      <c r="M24" s="62"/>
      <c r="N24" s="62"/>
      <c r="O24" s="95">
        <f>SUMIF(Q40:T40,Q4,Q41:T41)</f>
        <v>0.33</v>
      </c>
      <c r="V24" s="69"/>
    </row>
    <row r="25" spans="3:22">
      <c r="C25" s="56" t="s">
        <v>67</v>
      </c>
      <c r="D25" s="57" t="e">
        <f>AVERAGE(SUM(D4*20%)+SUM(D5*30%)+SUM(D6*50%))</f>
        <v>#DIV/0!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102"/>
      <c r="Q25" s="94">
        <v>0</v>
      </c>
      <c r="R25" s="94">
        <v>1</v>
      </c>
      <c r="S25" s="94"/>
      <c r="T25" s="94"/>
      <c r="V25" s="69"/>
    </row>
    <row r="26" spans="3:22">
      <c r="C26" s="72"/>
      <c r="D26" s="70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103"/>
      <c r="P26" s="73">
        <v>11</v>
      </c>
      <c r="Q26" s="73" t="b">
        <v>0</v>
      </c>
      <c r="R26" s="73" t="b">
        <v>1</v>
      </c>
      <c r="V26" s="69"/>
    </row>
    <row r="27" spans="3:22">
      <c r="C27" s="72"/>
      <c r="D27" s="70"/>
      <c r="E27" s="71"/>
      <c r="F27" s="71"/>
      <c r="G27" s="71"/>
      <c r="H27" s="71"/>
      <c r="I27" s="71"/>
      <c r="J27" s="71"/>
      <c r="K27" s="71"/>
      <c r="L27" s="71"/>
      <c r="M27" s="71"/>
      <c r="N27" s="93"/>
      <c r="P27" s="94">
        <v>0</v>
      </c>
      <c r="Q27" s="94">
        <v>1</v>
      </c>
      <c r="R27" s="94"/>
      <c r="S27" s="94"/>
    </row>
    <row r="28" spans="3:22">
      <c r="C28" s="72"/>
      <c r="D28" s="70"/>
      <c r="E28" s="71"/>
      <c r="F28" s="71"/>
      <c r="G28" s="71"/>
      <c r="H28" s="71"/>
      <c r="I28" s="71"/>
      <c r="J28" s="71"/>
      <c r="K28" s="76"/>
      <c r="L28" s="76"/>
      <c r="M28" s="76"/>
      <c r="N28" s="93"/>
      <c r="O28" s="83">
        <v>12</v>
      </c>
      <c r="P28" s="73" t="b">
        <v>0</v>
      </c>
      <c r="Q28" s="73" t="b">
        <v>0</v>
      </c>
      <c r="R28" s="73" t="b">
        <v>1</v>
      </c>
      <c r="S28" s="73" t="b">
        <v>0</v>
      </c>
    </row>
    <row r="29" spans="3:22">
      <c r="K29" s="85"/>
      <c r="L29" s="85"/>
      <c r="M29" s="73"/>
      <c r="N29" s="69"/>
      <c r="P29" s="94">
        <v>0</v>
      </c>
      <c r="Q29" s="94">
        <v>0.33</v>
      </c>
      <c r="R29" s="94">
        <v>0.66</v>
      </c>
      <c r="S29" s="94">
        <v>1</v>
      </c>
    </row>
    <row r="30" spans="3:22">
      <c r="K30" s="85"/>
      <c r="L30" s="85"/>
      <c r="M30" s="73"/>
      <c r="N30" s="69"/>
      <c r="O30" s="83">
        <v>13</v>
      </c>
      <c r="P30" s="73" t="b">
        <v>0</v>
      </c>
      <c r="Q30" s="73" t="b">
        <v>0</v>
      </c>
      <c r="R30" s="73" t="b">
        <v>1</v>
      </c>
      <c r="S30" s="73" t="b">
        <v>0</v>
      </c>
    </row>
    <row r="31" spans="3:22">
      <c r="L31" s="69"/>
      <c r="M31" s="69"/>
      <c r="N31" s="73"/>
      <c r="Q31" s="94">
        <v>0</v>
      </c>
      <c r="R31" s="94">
        <v>0.33</v>
      </c>
      <c r="S31" s="94">
        <v>0.66</v>
      </c>
      <c r="T31" s="94">
        <v>1</v>
      </c>
      <c r="V31" s="69"/>
    </row>
    <row r="32" spans="3:22">
      <c r="L32" s="69"/>
      <c r="M32" s="69"/>
      <c r="P32" s="73">
        <v>14</v>
      </c>
      <c r="Q32" s="73" t="b">
        <v>0</v>
      </c>
      <c r="R32" s="73" t="b">
        <v>1</v>
      </c>
      <c r="V32" s="69"/>
    </row>
    <row r="33" spans="16:22">
      <c r="Q33" s="94">
        <v>0</v>
      </c>
      <c r="R33" s="94">
        <v>1</v>
      </c>
      <c r="S33" s="94"/>
      <c r="T33" s="94"/>
      <c r="V33" s="69"/>
    </row>
    <row r="34" spans="16:22">
      <c r="P34" s="73">
        <v>15</v>
      </c>
      <c r="Q34" s="73" t="b">
        <v>1</v>
      </c>
      <c r="R34" s="73" t="b">
        <v>0</v>
      </c>
      <c r="S34" s="73" t="b">
        <v>0</v>
      </c>
      <c r="T34" s="73" t="b">
        <v>0</v>
      </c>
      <c r="V34" s="69"/>
    </row>
    <row r="35" spans="16:22">
      <c r="Q35" s="94">
        <v>0</v>
      </c>
      <c r="R35" s="94">
        <v>0.33</v>
      </c>
      <c r="S35" s="94">
        <v>0.66</v>
      </c>
      <c r="T35" s="94">
        <v>1</v>
      </c>
      <c r="V35" s="69"/>
    </row>
    <row r="36" spans="16:22">
      <c r="P36" s="73">
        <v>16</v>
      </c>
      <c r="Q36" s="73" t="b">
        <v>0</v>
      </c>
      <c r="R36" s="73" t="b">
        <v>1</v>
      </c>
    </row>
    <row r="37" spans="16:22">
      <c r="Q37" s="94">
        <v>0</v>
      </c>
      <c r="R37" s="94">
        <v>1</v>
      </c>
      <c r="S37" s="94"/>
      <c r="T37" s="94"/>
    </row>
    <row r="38" spans="16:22">
      <c r="P38" s="73">
        <v>17</v>
      </c>
      <c r="Q38" s="73" t="b">
        <v>1</v>
      </c>
      <c r="R38" s="73" t="b">
        <v>0</v>
      </c>
    </row>
    <row r="39" spans="16:22">
      <c r="Q39" s="94">
        <v>0</v>
      </c>
      <c r="R39" s="94">
        <v>1</v>
      </c>
      <c r="S39" s="94"/>
      <c r="T39" s="94"/>
    </row>
    <row r="40" spans="16:22">
      <c r="P40" s="73">
        <v>18</v>
      </c>
      <c r="Q40" s="73" t="b">
        <v>0</v>
      </c>
      <c r="R40" s="73" t="b">
        <v>1</v>
      </c>
      <c r="S40" s="73" t="b">
        <v>0</v>
      </c>
      <c r="T40" s="73" t="b">
        <v>0</v>
      </c>
    </row>
    <row r="41" spans="16:22">
      <c r="Q41" s="94">
        <v>0</v>
      </c>
      <c r="R41" s="94">
        <v>0.33</v>
      </c>
      <c r="S41" s="94">
        <v>0.66</v>
      </c>
      <c r="T41" s="94">
        <v>1</v>
      </c>
    </row>
    <row r="43" spans="16:22">
      <c r="Q43" s="94"/>
      <c r="R43" s="94"/>
      <c r="S43" s="94"/>
      <c r="T43" s="94"/>
    </row>
  </sheetData>
  <mergeCells count="4">
    <mergeCell ref="C7:L7"/>
    <mergeCell ref="C9:K9"/>
    <mergeCell ref="C18:K18"/>
    <mergeCell ref="C21:K21"/>
  </mergeCells>
  <phoneticPr fontId="0" type="noConversion"/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MENU</vt:lpstr>
      <vt:lpstr>PE_1</vt:lpstr>
      <vt:lpstr>PE_2</vt:lpstr>
      <vt:lpstr>PE_3</vt:lpstr>
      <vt:lpstr>PE_4</vt:lpstr>
      <vt:lpstr>Consolida_PE</vt:lpstr>
      <vt:lpstr>Gráfico_PE</vt:lpstr>
      <vt:lpstr>1. Empreendedor</vt:lpstr>
      <vt:lpstr>2. Tecnologia</vt:lpstr>
      <vt:lpstr>3. Capital</vt:lpstr>
      <vt:lpstr>4. Mercado</vt:lpstr>
      <vt:lpstr>5. Gestão</vt:lpstr>
      <vt:lpstr>Consolida_Dimensões_Analítico</vt:lpstr>
      <vt:lpstr>Consolida_Dimensões_Sintético</vt:lpstr>
      <vt:lpstr>Empreendimento_Sintético</vt:lpstr>
      <vt:lpstr>Gráf-Analítico</vt:lpstr>
      <vt:lpstr>Entregas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martins</dc:creator>
  <cp:lastModifiedBy>Ricardo Padua Crispim</cp:lastModifiedBy>
  <cp:lastPrinted>2019-02-08T15:58:13Z</cp:lastPrinted>
  <dcterms:created xsi:type="dcterms:W3CDTF">2014-08-29T17:12:53Z</dcterms:created>
  <dcterms:modified xsi:type="dcterms:W3CDTF">2020-12-18T00:27:51Z</dcterms:modified>
</cp:coreProperties>
</file>