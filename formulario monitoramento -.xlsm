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3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4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5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drawings/drawing8.xml" ContentType="application/vnd.openxmlformats-officedocument.drawing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drawings/drawing9.xml" ContentType="application/vnd.openxmlformats-officedocument.drawing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drawings/drawing10.xml" ContentType="application/vnd.openxmlformats-officedocument.drawing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drawings/drawing11.xml" ContentType="application/vnd.openxmlformats-officedocument.drawing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drawings/drawing12.xml" ContentType="application/vnd.openxmlformats-officedocument.drawing+xml"/>
  <Override PartName="/xl/charts/chart2.xml" ContentType="application/vnd.openxmlformats-officedocument.drawingml.chart+xml"/>
  <Override PartName="/xl/drawings/drawing13.xml" ContentType="application/vnd.openxmlformats-officedocument.drawing+xml"/>
  <Override PartName="/xl/charts/chart3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 defaultThemeVersion="124226"/>
  <bookViews>
    <workbookView showHorizontalScroll="0" showVerticalScroll="0" showSheetTabs="0" xWindow="0" yWindow="0" windowWidth="20490" windowHeight="7650" tabRatio="903"/>
  </bookViews>
  <sheets>
    <sheet name="MENU" sheetId="13" r:id="rId1"/>
    <sheet name="PE_1" sheetId="1" r:id="rId2"/>
    <sheet name="PE_2" sheetId="14" r:id="rId3"/>
    <sheet name="PE_3" sheetId="15" r:id="rId4"/>
    <sheet name="PE_4" sheetId="26" r:id="rId5"/>
    <sheet name="Consolida_PE" sheetId="2" r:id="rId6"/>
    <sheet name="Gráfico_PE" sheetId="18" r:id="rId7"/>
    <sheet name="1. Empreendedor" sheetId="20" r:id="rId8"/>
    <sheet name="2. Tecnologia" sheetId="22" r:id="rId9"/>
    <sheet name="3. Capital" sheetId="23" r:id="rId10"/>
    <sheet name="4. Mercado" sheetId="21" r:id="rId11"/>
    <sheet name="5. Gestão" sheetId="19" r:id="rId12"/>
    <sheet name="Consolida_Dimensões_Analítico" sheetId="24" r:id="rId13"/>
    <sheet name="Consolida_Dimensões_Sintético" sheetId="25" r:id="rId14"/>
    <sheet name="Empreendimento_Sintético" sheetId="10" r:id="rId15"/>
    <sheet name="Gráf-Analítico" sheetId="12" r:id="rId16"/>
    <sheet name="Entregas" sheetId="27" r:id="rId17"/>
  </sheets>
  <calcPr calcId="145621"/>
</workbook>
</file>

<file path=xl/calcChain.xml><?xml version="1.0" encoding="utf-8"?>
<calcChain xmlns="http://schemas.openxmlformats.org/spreadsheetml/2006/main">
  <c r="O8" i="27" l="1"/>
  <c r="O24" i="27" l="1"/>
  <c r="O23" i="27" l="1"/>
  <c r="O22" i="27"/>
  <c r="O21" i="27"/>
  <c r="O20" i="27"/>
  <c r="O19" i="27"/>
  <c r="O18" i="27"/>
  <c r="O17" i="27"/>
  <c r="O16" i="27"/>
  <c r="O15" i="27"/>
  <c r="O14" i="27"/>
  <c r="O13" i="27"/>
  <c r="O12" i="27"/>
  <c r="O11" i="27"/>
  <c r="D6" i="27" s="1"/>
  <c r="O10" i="27"/>
  <c r="O9" i="27"/>
  <c r="O7" i="27"/>
  <c r="I3" i="24" l="1"/>
  <c r="H3" i="24"/>
  <c r="O29" i="2" l="1"/>
  <c r="O32" i="2"/>
  <c r="O31" i="2"/>
  <c r="O30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N3" i="2"/>
  <c r="H44" i="24" l="1"/>
  <c r="H43" i="24"/>
  <c r="H42" i="24"/>
  <c r="H41" i="24"/>
  <c r="H40" i="24"/>
  <c r="H39" i="24"/>
  <c r="H38" i="24"/>
  <c r="H37" i="24"/>
  <c r="H36" i="24"/>
  <c r="H35" i="24"/>
  <c r="H34" i="24"/>
  <c r="H33" i="24"/>
  <c r="H32" i="24"/>
  <c r="H31" i="24"/>
  <c r="H30" i="24"/>
  <c r="H29" i="24"/>
  <c r="H28" i="24"/>
  <c r="H27" i="24"/>
  <c r="H26" i="24"/>
  <c r="H25" i="24"/>
  <c r="H23" i="24"/>
  <c r="H22" i="24"/>
  <c r="H21" i="24"/>
  <c r="H20" i="24"/>
  <c r="H19" i="24"/>
  <c r="H18" i="24"/>
  <c r="H17" i="24"/>
  <c r="H16" i="24"/>
  <c r="H15" i="24"/>
  <c r="H14" i="24"/>
  <c r="H13" i="24"/>
  <c r="H12" i="24"/>
  <c r="H11" i="24"/>
  <c r="H10" i="24"/>
  <c r="H9" i="24"/>
  <c r="H8" i="24"/>
  <c r="H7" i="24"/>
  <c r="H6" i="24"/>
  <c r="H5" i="24"/>
  <c r="H4" i="24"/>
  <c r="H24" i="24"/>
  <c r="N32" i="2"/>
  <c r="M32" i="2"/>
  <c r="L32" i="2"/>
  <c r="N31" i="2"/>
  <c r="M31" i="2"/>
  <c r="L31" i="2"/>
  <c r="N30" i="2"/>
  <c r="M30" i="2"/>
  <c r="L30" i="2"/>
  <c r="N29" i="2"/>
  <c r="M29" i="2"/>
  <c r="L29" i="2"/>
  <c r="N28" i="2"/>
  <c r="M28" i="2"/>
  <c r="L28" i="2"/>
  <c r="N27" i="2"/>
  <c r="M27" i="2"/>
  <c r="L27" i="2"/>
  <c r="N26" i="2"/>
  <c r="M26" i="2"/>
  <c r="L26" i="2"/>
  <c r="N25" i="2"/>
  <c r="M25" i="2"/>
  <c r="L25" i="2"/>
  <c r="N24" i="2"/>
  <c r="M24" i="2"/>
  <c r="L24" i="2"/>
  <c r="N23" i="2"/>
  <c r="M23" i="2"/>
  <c r="L23" i="2"/>
  <c r="N22" i="2"/>
  <c r="M22" i="2"/>
  <c r="L22" i="2"/>
  <c r="N21" i="2"/>
  <c r="M21" i="2"/>
  <c r="L21" i="2"/>
  <c r="N20" i="2"/>
  <c r="M20" i="2"/>
  <c r="L20" i="2"/>
  <c r="N19" i="2"/>
  <c r="M19" i="2"/>
  <c r="L19" i="2"/>
  <c r="N18" i="2"/>
  <c r="M18" i="2"/>
  <c r="L18" i="2"/>
  <c r="N17" i="2"/>
  <c r="M17" i="2"/>
  <c r="L17" i="2"/>
  <c r="N16" i="2"/>
  <c r="M16" i="2"/>
  <c r="L16" i="2"/>
  <c r="N15" i="2"/>
  <c r="M15" i="2"/>
  <c r="L15" i="2"/>
  <c r="N14" i="2"/>
  <c r="M14" i="2"/>
  <c r="L14" i="2"/>
  <c r="N13" i="2"/>
  <c r="M13" i="2"/>
  <c r="L13" i="2"/>
  <c r="N12" i="2"/>
  <c r="M12" i="2"/>
  <c r="L12" i="2"/>
  <c r="N11" i="2"/>
  <c r="M11" i="2"/>
  <c r="L11" i="2"/>
  <c r="N10" i="2"/>
  <c r="M10" i="2"/>
  <c r="L10" i="2"/>
  <c r="N9" i="2"/>
  <c r="M9" i="2"/>
  <c r="L9" i="2"/>
  <c r="N8" i="2"/>
  <c r="M8" i="2"/>
  <c r="L8" i="2"/>
  <c r="N7" i="2"/>
  <c r="M7" i="2"/>
  <c r="L7" i="2"/>
  <c r="N6" i="2"/>
  <c r="M6" i="2"/>
  <c r="L6" i="2"/>
  <c r="N5" i="2"/>
  <c r="M5" i="2"/>
  <c r="L5" i="2"/>
  <c r="N4" i="2"/>
  <c r="M4" i="2"/>
  <c r="L4" i="2"/>
  <c r="M3" i="2"/>
  <c r="L3" i="2"/>
  <c r="I43" i="24"/>
  <c r="I44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I8" i="24"/>
  <c r="I7" i="24"/>
  <c r="I6" i="24"/>
  <c r="I5" i="24"/>
  <c r="I4" i="24"/>
  <c r="F3" i="25" l="1"/>
  <c r="P24" i="2"/>
  <c r="Q24" i="2" s="1"/>
  <c r="P16" i="2"/>
  <c r="Q16" i="2" s="1"/>
  <c r="P32" i="2"/>
  <c r="Q32" i="2" s="1"/>
  <c r="P8" i="2"/>
  <c r="Q8" i="2" s="1"/>
  <c r="P4" i="2"/>
  <c r="Q4" i="2" s="1"/>
  <c r="P12" i="2"/>
  <c r="P20" i="2"/>
  <c r="Q20" i="2" s="1"/>
  <c r="P28" i="2"/>
  <c r="Q28" i="2" s="1"/>
  <c r="P6" i="2"/>
  <c r="Q6" i="2" s="1"/>
  <c r="P10" i="2"/>
  <c r="Q10" i="2" s="1"/>
  <c r="P3" i="2"/>
  <c r="P14" i="2"/>
  <c r="Q14" i="2" s="1"/>
  <c r="P18" i="2"/>
  <c r="Q18" i="2" s="1"/>
  <c r="P22" i="2"/>
  <c r="Q22" i="2" s="1"/>
  <c r="P26" i="2"/>
  <c r="Q26" i="2" s="1"/>
  <c r="P30" i="2"/>
  <c r="Q30" i="2" s="1"/>
  <c r="P7" i="2"/>
  <c r="Q7" i="2" s="1"/>
  <c r="P11" i="2"/>
  <c r="Q11" i="2" s="1"/>
  <c r="P15" i="2"/>
  <c r="Q15" i="2" s="1"/>
  <c r="P19" i="2"/>
  <c r="Q19" i="2" s="1"/>
  <c r="P23" i="2"/>
  <c r="Q23" i="2" s="1"/>
  <c r="P27" i="2"/>
  <c r="Q27" i="2" s="1"/>
  <c r="P31" i="2"/>
  <c r="Q31" i="2" s="1"/>
  <c r="P5" i="2"/>
  <c r="Q5" i="2" s="1"/>
  <c r="P9" i="2"/>
  <c r="Q9" i="2" s="1"/>
  <c r="P13" i="2"/>
  <c r="Q13" i="2" s="1"/>
  <c r="P17" i="2"/>
  <c r="Q17" i="2" s="1"/>
  <c r="P21" i="2"/>
  <c r="Q21" i="2" s="1"/>
  <c r="P25" i="2"/>
  <c r="Q25" i="2" s="1"/>
  <c r="P29" i="2"/>
  <c r="Q29" i="2" s="1"/>
  <c r="F5" i="25"/>
  <c r="G5" i="25" s="1"/>
  <c r="F7" i="25"/>
  <c r="G7" i="25" s="1"/>
  <c r="F6" i="25"/>
  <c r="F4" i="25"/>
  <c r="G4" i="25" s="1"/>
  <c r="B64" i="18" l="1"/>
  <c r="C63" i="12"/>
  <c r="C23" i="10"/>
  <c r="D5" i="27"/>
  <c r="D4" i="27"/>
  <c r="Q12" i="2"/>
  <c r="Q3" i="2"/>
  <c r="G6" i="25"/>
  <c r="G3" i="25"/>
  <c r="D25" i="27" l="1"/>
</calcChain>
</file>

<file path=xl/sharedStrings.xml><?xml version="1.0" encoding="utf-8"?>
<sst xmlns="http://schemas.openxmlformats.org/spreadsheetml/2006/main" count="544" uniqueCount="322">
  <si>
    <t>Inicial</t>
  </si>
  <si>
    <t>Avanço</t>
  </si>
  <si>
    <t>Item Avaliado</t>
  </si>
  <si>
    <t>Questão Avaliada</t>
  </si>
  <si>
    <t>Perfil Empreendedor</t>
  </si>
  <si>
    <t>Discordo</t>
  </si>
  <si>
    <t>Discordo totalmente. Isso não acontece.</t>
  </si>
  <si>
    <t>Não discordo, porém, não concordo.</t>
  </si>
  <si>
    <t>Concordo.</t>
  </si>
  <si>
    <t>Concordo totalmente. Sempre acontece.</t>
  </si>
  <si>
    <t>2. As pessoas concordam comigo baseadas em meus argumentos ou estratégias que adoto.</t>
  </si>
  <si>
    <t>3. Escolho situações em que posso controlar ao máximo os resultados finais, considerando as possibilidades de êxito ou fracasso antes de agir.</t>
  </si>
  <si>
    <t>4. Diante as necessidades do mercado, implanto inovações em meus produtos/serviços ofertados pelo empreendimento na minha responsabilidade, ou amplio área geográfica de atuação do empreendimento.</t>
  </si>
  <si>
    <t>6. Acredito que posso ser bem sucedido em qualquer atividade que me proponho executar, mesmo sendo algo difícil ou desafiador.</t>
  </si>
  <si>
    <t>7. Meu rendimento no trabalho é bastante eficaz, pois faço as coisas de acordo com o que foi estabelecido, dando ênfase à otimização do tempo.</t>
  </si>
  <si>
    <t>8. Para mim, é mais importante a minha opinião do que a opinião de outras pessoas sobre o que faço e a maneira como eu faço.</t>
  </si>
  <si>
    <t>9. Executo minhas atividades bem como as atividades dos funcionários no dia a dia do empreendimento.</t>
  </si>
  <si>
    <t>10. Adoto, como parâmetro nas negociações, o ditado “quem não arrisca, não petisca”.</t>
  </si>
  <si>
    <t>11. Busco toda e qualquer informação disponível no mercado para utilizar no empreendimento.</t>
  </si>
  <si>
    <t>12. Sei, de forma clara, o que quero alcançar no horizonte de médio e longo prazos e estabeleço parâmetros que permitam medir e avaliar o meu desempenho.</t>
  </si>
  <si>
    <t>13. Faço as coisas preocupando-me com meus clientes, pois eles sempre têm razão e estão acima de qualquer coisa.</t>
  </si>
  <si>
    <t>14. Defino, a cada dia, o percentual de lucro que quero obter com o empreendimento.</t>
  </si>
  <si>
    <t>15. Quando tenho um projeto de grande porte, divido-o em tarefas mais simples, com prazos estabelecidos antecipadamente.</t>
  </si>
  <si>
    <t>16. Mesmo que eu já esteja obtendo bons resultados no empreendimento, encontro formas de melhorar o que faço (agilidade, custos, qualidade).</t>
  </si>
  <si>
    <t>17. Confio em minha capacidade de tomar decisões e solucionar problemas desafiantes que encontro na rotina do empreendimento.</t>
  </si>
  <si>
    <t>18. Na execução das atividades, minha intuição e criatividade são suficientes para decidir como fazer. Organização e controle são aspectos secundários.</t>
  </si>
  <si>
    <t>19. Identifico pessoas influentes e solicito apoio delas para alcançar minhas metas, pois somente assim consigo obter resultados positivos.</t>
  </si>
  <si>
    <t>20. Insisto várias vezes para conseguir o que pretendo.</t>
  </si>
  <si>
    <t>21. Aproveito, sem restrições, todas as oportunidades que surgem no mercado, pois elas trazem retorno financeiro.</t>
  </si>
  <si>
    <t>22. Com objetivos comerciais, envio mensagens / brindes aos clientes em datas especiais.</t>
  </si>
  <si>
    <t>23. Faço controles financeiros por meio de registros e utilizo esses dados para subsidiar as minhas decisões.</t>
  </si>
  <si>
    <t>24. Quando encontro dificuldades na execução de uma atividade, permito-me aguardar um tempo até que elas se resolvam.</t>
  </si>
  <si>
    <t>25. Quando necessário, trabalho muito e com afinco, para completar uma tarefa ou alcançar um objetivo.</t>
  </si>
  <si>
    <t>26. Faço coisas que, na opinião dos outros, são arriscadas.</t>
  </si>
  <si>
    <t>27. Minhas ações diárias são fortemente influenciadas por meus objetivos de vida no médio e longo prazos.</t>
  </si>
  <si>
    <t>29. Encontro oportunidades de novos negócios quando identifico necessidades ou diagnostico problemas reais.</t>
  </si>
  <si>
    <t>Moderado</t>
  </si>
  <si>
    <t>Otimizado</t>
  </si>
  <si>
    <t>Levemente Otimizado</t>
  </si>
  <si>
    <t>Levemente Inicial</t>
  </si>
  <si>
    <t>Empreendedor 1</t>
  </si>
  <si>
    <t>Empreendedor 2</t>
  </si>
  <si>
    <t>Empreendedor 3</t>
  </si>
  <si>
    <t>Respostas Empreendedores</t>
  </si>
  <si>
    <t xml:space="preserve">28. Visito feiras e participo de eventos e cursos correlatos ao meu empreendimento para conhecer novos produtos, serviços e fornecedores. </t>
  </si>
  <si>
    <r>
      <t xml:space="preserve">O </t>
    </r>
    <r>
      <rPr>
        <b/>
        <sz val="12"/>
        <color theme="1"/>
        <rFont val="Calibri"/>
        <family val="2"/>
        <scheme val="minor"/>
      </rPr>
      <t>OBJETIVO</t>
    </r>
    <r>
      <rPr>
        <sz val="12"/>
        <color theme="1"/>
        <rFont val="Calibri"/>
        <family val="2"/>
        <scheme val="minor"/>
      </rPr>
      <t xml:space="preserve"> desse questionário é </t>
    </r>
    <r>
      <rPr>
        <b/>
        <sz val="12"/>
        <color theme="1"/>
        <rFont val="Calibri"/>
        <family val="2"/>
        <scheme val="minor"/>
      </rPr>
      <t>IDENTIFICAR</t>
    </r>
    <r>
      <rPr>
        <sz val="12"/>
        <color theme="1"/>
        <rFont val="Calibri"/>
        <family val="2"/>
        <scheme val="minor"/>
      </rPr>
      <t xml:space="preserve"> os principais </t>
    </r>
    <r>
      <rPr>
        <b/>
        <sz val="12"/>
        <color theme="1"/>
        <rFont val="Calibri"/>
        <family val="2"/>
        <scheme val="minor"/>
      </rPr>
      <t>DIRECIONADORES</t>
    </r>
    <r>
      <rPr>
        <sz val="12"/>
        <color theme="1"/>
        <rFont val="Calibri"/>
        <family val="2"/>
        <scheme val="minor"/>
      </rPr>
      <t xml:space="preserve"> capazes de oportunizar a </t>
    </r>
    <r>
      <rPr>
        <b/>
        <sz val="12"/>
        <color theme="1"/>
        <rFont val="Calibri"/>
        <family val="2"/>
        <scheme val="minor"/>
      </rPr>
      <t>DEFINIÇÃO DE ESTRATÉGIAS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METAS</t>
    </r>
    <r>
      <rPr>
        <sz val="12"/>
        <color theme="1"/>
        <rFont val="Calibri"/>
        <family val="2"/>
        <scheme val="minor"/>
      </rPr>
      <t xml:space="preserve"> e </t>
    </r>
    <r>
      <rPr>
        <b/>
        <sz val="12"/>
        <color theme="1"/>
        <rFont val="Calibri"/>
        <family val="2"/>
        <scheme val="minor"/>
      </rPr>
      <t>AÇÕES</t>
    </r>
    <r>
      <rPr>
        <sz val="12"/>
        <color theme="1"/>
        <rFont val="Calibri"/>
        <family val="2"/>
        <scheme val="minor"/>
      </rPr>
      <t xml:space="preserve"> que possibilitem o </t>
    </r>
    <r>
      <rPr>
        <b/>
        <sz val="12"/>
        <color theme="1"/>
        <rFont val="Calibri"/>
        <family val="2"/>
        <scheme val="minor"/>
      </rPr>
      <t>DESENVOLVIMENTO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>COMERCIAL</t>
    </r>
    <r>
      <rPr>
        <sz val="12"/>
        <color theme="1"/>
        <rFont val="Calibri"/>
        <family val="2"/>
        <scheme val="minor"/>
      </rPr>
      <t xml:space="preserve"> dos </t>
    </r>
    <r>
      <rPr>
        <b/>
        <sz val="12"/>
        <color theme="1"/>
        <rFont val="Calibri"/>
        <family val="2"/>
        <scheme val="minor"/>
      </rPr>
      <t>EMPREENDIMENTOS</t>
    </r>
    <r>
      <rPr>
        <sz val="12"/>
        <color theme="1"/>
        <rFont val="Calibri"/>
        <family val="2"/>
        <scheme val="minor"/>
      </rPr>
      <t xml:space="preserve"> vinculados ao Programa de Incubadoras da Universidade Estadual de Goiás - PROIN/UEG.</t>
    </r>
  </si>
  <si>
    <r>
      <t xml:space="preserve">O </t>
    </r>
    <r>
      <rPr>
        <b/>
        <sz val="12"/>
        <color theme="1"/>
        <rFont val="Calibri"/>
        <family val="2"/>
        <scheme val="minor"/>
      </rPr>
      <t>OBJETIVO</t>
    </r>
    <r>
      <rPr>
        <sz val="12"/>
        <color theme="1"/>
        <rFont val="Calibri"/>
        <family val="2"/>
        <scheme val="minor"/>
      </rPr>
      <t xml:space="preserve"> desse questionário é auxiliar na </t>
    </r>
    <r>
      <rPr>
        <b/>
        <sz val="12"/>
        <color theme="1"/>
        <rFont val="Calibri"/>
        <family val="2"/>
        <scheme val="minor"/>
      </rPr>
      <t xml:space="preserve">IDENTIFICAÇÃO </t>
    </r>
    <r>
      <rPr>
        <sz val="12"/>
        <color theme="1"/>
        <rFont val="Calibri"/>
        <family val="2"/>
        <scheme val="minor"/>
      </rPr>
      <t xml:space="preserve">dos principais </t>
    </r>
    <r>
      <rPr>
        <b/>
        <sz val="12"/>
        <color theme="1"/>
        <rFont val="Calibri"/>
        <family val="2"/>
        <scheme val="minor"/>
      </rPr>
      <t>DIRECIONADORES</t>
    </r>
    <r>
      <rPr>
        <sz val="12"/>
        <color theme="1"/>
        <rFont val="Calibri"/>
        <family val="2"/>
        <scheme val="minor"/>
      </rPr>
      <t xml:space="preserve"> capazes de oportunizar a </t>
    </r>
    <r>
      <rPr>
        <b/>
        <sz val="12"/>
        <color theme="1"/>
        <rFont val="Calibri"/>
        <family val="2"/>
        <scheme val="minor"/>
      </rPr>
      <t>DEFINIÇÃO DE ESTRATÉGIAS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METAS</t>
    </r>
    <r>
      <rPr>
        <sz val="12"/>
        <color theme="1"/>
        <rFont val="Calibri"/>
        <family val="2"/>
        <scheme val="minor"/>
      </rPr>
      <t xml:space="preserve"> e </t>
    </r>
    <r>
      <rPr>
        <b/>
        <sz val="12"/>
        <color theme="1"/>
        <rFont val="Calibri"/>
        <family val="2"/>
        <scheme val="minor"/>
      </rPr>
      <t>AÇÕES</t>
    </r>
    <r>
      <rPr>
        <sz val="12"/>
        <color theme="1"/>
        <rFont val="Calibri"/>
        <family val="2"/>
        <scheme val="minor"/>
      </rPr>
      <t xml:space="preserve"> para o </t>
    </r>
    <r>
      <rPr>
        <b/>
        <sz val="12"/>
        <color theme="1"/>
        <rFont val="Calibri"/>
        <family val="2"/>
        <scheme val="minor"/>
      </rPr>
      <t>DESENVOLVIMENTO</t>
    </r>
    <r>
      <rPr>
        <sz val="12"/>
        <color theme="1"/>
        <rFont val="Calibri"/>
        <family val="2"/>
        <scheme val="minor"/>
      </rPr>
      <t xml:space="preserve"> dos </t>
    </r>
    <r>
      <rPr>
        <b/>
        <sz val="12"/>
        <color theme="1"/>
        <rFont val="Calibri"/>
        <family val="2"/>
        <scheme val="minor"/>
      </rPr>
      <t>EMPREENDEDORES</t>
    </r>
    <r>
      <rPr>
        <sz val="12"/>
        <color theme="1"/>
        <rFont val="Calibri"/>
        <family val="2"/>
        <scheme val="minor"/>
      </rPr>
      <t xml:space="preserve"> vinculados ao Programa de Incubadoras da Universidade Estadual do Estado de Goiás - PROIN/UEG.</t>
    </r>
  </si>
  <si>
    <r>
      <t xml:space="preserve">O </t>
    </r>
    <r>
      <rPr>
        <b/>
        <sz val="12"/>
        <color theme="1"/>
        <rFont val="Calibri"/>
        <family val="2"/>
        <scheme val="minor"/>
      </rPr>
      <t>OBJETIVO</t>
    </r>
    <r>
      <rPr>
        <sz val="12"/>
        <color theme="1"/>
        <rFont val="Calibri"/>
        <family val="2"/>
        <scheme val="minor"/>
      </rPr>
      <t xml:space="preserve"> desse questionário é </t>
    </r>
    <r>
      <rPr>
        <b/>
        <sz val="12"/>
        <color theme="1"/>
        <rFont val="Calibri"/>
        <family val="2"/>
        <scheme val="minor"/>
      </rPr>
      <t>IDENTIFICAR</t>
    </r>
    <r>
      <rPr>
        <sz val="12"/>
        <color theme="1"/>
        <rFont val="Calibri"/>
        <family val="2"/>
        <scheme val="minor"/>
      </rPr>
      <t xml:space="preserve"> os principais </t>
    </r>
    <r>
      <rPr>
        <b/>
        <sz val="12"/>
        <color theme="1"/>
        <rFont val="Calibri"/>
        <family val="2"/>
        <scheme val="minor"/>
      </rPr>
      <t>DIRECIONADORES</t>
    </r>
    <r>
      <rPr>
        <sz val="12"/>
        <color theme="1"/>
        <rFont val="Calibri"/>
        <family val="2"/>
        <scheme val="minor"/>
      </rPr>
      <t xml:space="preserve"> capazes de oportunizar a </t>
    </r>
    <r>
      <rPr>
        <b/>
        <sz val="12"/>
        <color theme="1"/>
        <rFont val="Calibri"/>
        <family val="2"/>
        <scheme val="minor"/>
      </rPr>
      <t>DEFINIÇÃO DE ESTRATÉGIAS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METAS</t>
    </r>
    <r>
      <rPr>
        <sz val="12"/>
        <color theme="1"/>
        <rFont val="Calibri"/>
        <family val="2"/>
        <scheme val="minor"/>
      </rPr>
      <t xml:space="preserve"> e </t>
    </r>
    <r>
      <rPr>
        <b/>
        <sz val="12"/>
        <color theme="1"/>
        <rFont val="Calibri"/>
        <family val="2"/>
        <scheme val="minor"/>
      </rPr>
      <t>AÇÕES</t>
    </r>
    <r>
      <rPr>
        <sz val="12"/>
        <color theme="1"/>
        <rFont val="Calibri"/>
        <family val="2"/>
        <scheme val="minor"/>
      </rPr>
      <t xml:space="preserve"> sobre a </t>
    </r>
    <r>
      <rPr>
        <b/>
        <sz val="12"/>
        <color theme="1"/>
        <rFont val="Calibri"/>
        <family val="2"/>
        <scheme val="minor"/>
      </rPr>
      <t>INSTALAÇÃO</t>
    </r>
    <r>
      <rPr>
        <sz val="12"/>
        <color theme="1"/>
        <rFont val="Calibri"/>
        <family val="2"/>
        <scheme val="minor"/>
      </rPr>
      <t xml:space="preserve"> e o </t>
    </r>
    <r>
      <rPr>
        <b/>
        <sz val="12"/>
        <color theme="1"/>
        <rFont val="Calibri"/>
        <family val="2"/>
        <scheme val="minor"/>
      </rPr>
      <t>CRESCIMENTO</t>
    </r>
    <r>
      <rPr>
        <sz val="12"/>
        <color theme="1"/>
        <rFont val="Calibri"/>
        <family val="2"/>
        <scheme val="minor"/>
      </rPr>
      <t xml:space="preserve"> dos </t>
    </r>
    <r>
      <rPr>
        <b/>
        <sz val="12"/>
        <color theme="1"/>
        <rFont val="Calibri"/>
        <family val="2"/>
        <scheme val="minor"/>
      </rPr>
      <t>EMPREENDIMENTOS</t>
    </r>
    <r>
      <rPr>
        <sz val="12"/>
        <color theme="1"/>
        <rFont val="Calibri"/>
        <family val="2"/>
        <scheme val="minor"/>
      </rPr>
      <t xml:space="preserve"> vinculados ao Programa de Incubadoras da Universidade Estadual de Goiás - PROIN/UEG, considerando seus diferentes aspectos (recursos financeiros, humanos, dentre outros).</t>
    </r>
  </si>
  <si>
    <r>
      <t xml:space="preserve">O </t>
    </r>
    <r>
      <rPr>
        <b/>
        <sz val="12"/>
        <color theme="1"/>
        <rFont val="Calibri"/>
        <family val="2"/>
        <scheme val="minor"/>
      </rPr>
      <t>OBJETIVO</t>
    </r>
    <r>
      <rPr>
        <sz val="12"/>
        <color theme="1"/>
        <rFont val="Calibri"/>
        <family val="2"/>
        <scheme val="minor"/>
      </rPr>
      <t xml:space="preserve"> desse questionário é </t>
    </r>
    <r>
      <rPr>
        <b/>
        <sz val="12"/>
        <color theme="1"/>
        <rFont val="Calibri"/>
        <family val="2"/>
        <scheme val="minor"/>
      </rPr>
      <t>IDENTIFICAR</t>
    </r>
    <r>
      <rPr>
        <sz val="12"/>
        <color theme="1"/>
        <rFont val="Calibri"/>
        <family val="2"/>
        <scheme val="minor"/>
      </rPr>
      <t xml:space="preserve"> os principais </t>
    </r>
    <r>
      <rPr>
        <b/>
        <sz val="12"/>
        <color theme="1"/>
        <rFont val="Calibri"/>
        <family val="2"/>
        <scheme val="minor"/>
      </rPr>
      <t>DIRECIONADORES</t>
    </r>
    <r>
      <rPr>
        <sz val="12"/>
        <color theme="1"/>
        <rFont val="Calibri"/>
        <family val="2"/>
        <scheme val="minor"/>
      </rPr>
      <t xml:space="preserve"> capazes de oportunizar a </t>
    </r>
    <r>
      <rPr>
        <b/>
        <sz val="12"/>
        <color theme="1"/>
        <rFont val="Calibri"/>
        <family val="2"/>
        <scheme val="minor"/>
      </rPr>
      <t>DEFINIÇÃO DE ESTRATÉGIAS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METAS</t>
    </r>
    <r>
      <rPr>
        <sz val="12"/>
        <color theme="1"/>
        <rFont val="Calibri"/>
        <family val="2"/>
        <scheme val="minor"/>
      </rPr>
      <t xml:space="preserve"> e </t>
    </r>
    <r>
      <rPr>
        <b/>
        <sz val="12"/>
        <color theme="1"/>
        <rFont val="Calibri"/>
        <family val="2"/>
        <scheme val="minor"/>
      </rPr>
      <t>AÇÕES</t>
    </r>
    <r>
      <rPr>
        <sz val="12"/>
        <color theme="1"/>
        <rFont val="Calibri"/>
        <family val="2"/>
        <scheme val="minor"/>
      </rPr>
      <t xml:space="preserve"> para o </t>
    </r>
    <r>
      <rPr>
        <b/>
        <sz val="12"/>
        <color theme="1"/>
        <rFont val="Calibri"/>
        <family val="2"/>
        <scheme val="minor"/>
      </rPr>
      <t>DESENVOLVIMENTO</t>
    </r>
    <r>
      <rPr>
        <sz val="12"/>
        <color theme="1"/>
        <rFont val="Calibri"/>
        <family val="2"/>
        <scheme val="minor"/>
      </rPr>
      <t xml:space="preserve"> dos </t>
    </r>
    <r>
      <rPr>
        <b/>
        <sz val="12"/>
        <color theme="1"/>
        <rFont val="Calibri"/>
        <family val="2"/>
        <scheme val="minor"/>
      </rPr>
      <t>EMPREENDEDORES</t>
    </r>
    <r>
      <rPr>
        <sz val="12"/>
        <color theme="1"/>
        <rFont val="Calibri"/>
        <family val="2"/>
        <scheme val="minor"/>
      </rPr>
      <t xml:space="preserve"> vinculados ao Programa de Incubadoras da Universidade Estadual do Estado de Goiás - PROIN/UEG.</t>
    </r>
  </si>
  <si>
    <r>
      <t xml:space="preserve">O </t>
    </r>
    <r>
      <rPr>
        <b/>
        <sz val="12"/>
        <color theme="1"/>
        <rFont val="Calibri"/>
        <family val="2"/>
        <scheme val="minor"/>
      </rPr>
      <t>OBJETIVO</t>
    </r>
    <r>
      <rPr>
        <sz val="12"/>
        <color theme="1"/>
        <rFont val="Calibri"/>
        <family val="2"/>
        <scheme val="minor"/>
      </rPr>
      <t xml:space="preserve"> desse questionário é </t>
    </r>
    <r>
      <rPr>
        <b/>
        <sz val="12"/>
        <color theme="1"/>
        <rFont val="Calibri"/>
        <family val="2"/>
        <scheme val="minor"/>
      </rPr>
      <t>IDENTIFICAR</t>
    </r>
    <r>
      <rPr>
        <sz val="12"/>
        <color theme="1"/>
        <rFont val="Calibri"/>
        <family val="2"/>
        <scheme val="minor"/>
      </rPr>
      <t xml:space="preserve"> os principais </t>
    </r>
    <r>
      <rPr>
        <b/>
        <sz val="12"/>
        <color theme="1"/>
        <rFont val="Calibri"/>
        <family val="2"/>
        <scheme val="minor"/>
      </rPr>
      <t>DIRECIONADORES</t>
    </r>
    <r>
      <rPr>
        <sz val="12"/>
        <color theme="1"/>
        <rFont val="Calibri"/>
        <family val="2"/>
        <scheme val="minor"/>
      </rPr>
      <t xml:space="preserve"> capazes de oportunizar a </t>
    </r>
    <r>
      <rPr>
        <b/>
        <sz val="12"/>
        <color theme="1"/>
        <rFont val="Calibri"/>
        <family val="2"/>
        <scheme val="minor"/>
      </rPr>
      <t>DEFINIÇÃO DE ESTRATÉGIAS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METAS</t>
    </r>
    <r>
      <rPr>
        <sz val="12"/>
        <color theme="1"/>
        <rFont val="Calibri"/>
        <family val="2"/>
        <scheme val="minor"/>
      </rPr>
      <t xml:space="preserve"> e </t>
    </r>
    <r>
      <rPr>
        <b/>
        <sz val="12"/>
        <color theme="1"/>
        <rFont val="Calibri"/>
        <family val="2"/>
        <scheme val="minor"/>
      </rPr>
      <t>AÇÕES</t>
    </r>
    <r>
      <rPr>
        <sz val="12"/>
        <color theme="1"/>
        <rFont val="Calibri"/>
        <family val="2"/>
        <scheme val="minor"/>
      </rPr>
      <t xml:space="preserve"> que possibilitem </t>
    </r>
    <r>
      <rPr>
        <b/>
        <sz val="12"/>
        <color theme="1"/>
        <rFont val="Calibri"/>
        <family val="2"/>
        <scheme val="minor"/>
      </rPr>
      <t>CARACTERIZAR</t>
    </r>
    <r>
      <rPr>
        <sz val="12"/>
        <color theme="1"/>
        <rFont val="Calibri"/>
        <family val="2"/>
        <scheme val="minor"/>
      </rPr>
      <t xml:space="preserve"> a </t>
    </r>
    <r>
      <rPr>
        <b/>
        <sz val="12"/>
        <color theme="1"/>
        <rFont val="Calibri"/>
        <family val="2"/>
        <scheme val="minor"/>
      </rPr>
      <t>SOLUÇÃO INOVADORA</t>
    </r>
    <r>
      <rPr>
        <sz val="12"/>
        <color theme="1"/>
        <rFont val="Calibri"/>
        <family val="2"/>
        <scheme val="minor"/>
      </rPr>
      <t xml:space="preserve"> (tecnologia, produtos, serviços) oferecida pelos </t>
    </r>
    <r>
      <rPr>
        <b/>
        <sz val="12"/>
        <color theme="1"/>
        <rFont val="Calibri"/>
        <family val="2"/>
        <scheme val="minor"/>
      </rPr>
      <t>EMPREENDIMENTOS</t>
    </r>
    <r>
      <rPr>
        <sz val="12"/>
        <color theme="1"/>
        <rFont val="Calibri"/>
        <family val="2"/>
        <scheme val="minor"/>
      </rPr>
      <t xml:space="preserve"> vinculados ao Programa de Incubadoras da Universidade Estadual de Goiás - PROIN/UEG, para atender as necessidades e demandas de clientes.</t>
    </r>
  </si>
  <si>
    <r>
      <t xml:space="preserve">O </t>
    </r>
    <r>
      <rPr>
        <b/>
        <sz val="12"/>
        <color theme="1"/>
        <rFont val="Calibri"/>
        <family val="2"/>
        <scheme val="minor"/>
      </rPr>
      <t>OBJETIVO</t>
    </r>
    <r>
      <rPr>
        <sz val="12"/>
        <color theme="1"/>
        <rFont val="Calibri"/>
        <family val="2"/>
        <scheme val="minor"/>
      </rPr>
      <t xml:space="preserve"> desse questionário é </t>
    </r>
    <r>
      <rPr>
        <b/>
        <sz val="12"/>
        <color theme="1"/>
        <rFont val="Calibri"/>
        <family val="2"/>
        <scheme val="minor"/>
      </rPr>
      <t>IDENTIFICAR</t>
    </r>
    <r>
      <rPr>
        <sz val="12"/>
        <color theme="1"/>
        <rFont val="Calibri"/>
        <family val="2"/>
        <scheme val="minor"/>
      </rPr>
      <t xml:space="preserve"> os principais </t>
    </r>
    <r>
      <rPr>
        <b/>
        <sz val="12"/>
        <color theme="1"/>
        <rFont val="Calibri"/>
        <family val="2"/>
        <scheme val="minor"/>
      </rPr>
      <t>DIRECIONADORES</t>
    </r>
    <r>
      <rPr>
        <sz val="12"/>
        <color theme="1"/>
        <rFont val="Calibri"/>
        <family val="2"/>
        <scheme val="minor"/>
      </rPr>
      <t xml:space="preserve"> capazes de oportunizar a </t>
    </r>
    <r>
      <rPr>
        <b/>
        <sz val="12"/>
        <color theme="1"/>
        <rFont val="Calibri"/>
        <family val="2"/>
        <scheme val="minor"/>
      </rPr>
      <t>DEFINIÇÃO DE ESTRATÉGIAS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METAS</t>
    </r>
    <r>
      <rPr>
        <sz val="12"/>
        <color theme="1"/>
        <rFont val="Calibri"/>
        <family val="2"/>
        <scheme val="minor"/>
      </rPr>
      <t xml:space="preserve"> e </t>
    </r>
    <r>
      <rPr>
        <b/>
        <sz val="12"/>
        <color theme="1"/>
        <rFont val="Calibri"/>
        <family val="2"/>
        <scheme val="minor"/>
      </rPr>
      <t>AÇÕES</t>
    </r>
    <r>
      <rPr>
        <sz val="12"/>
        <color theme="1"/>
        <rFont val="Calibri"/>
        <family val="2"/>
        <scheme val="minor"/>
      </rPr>
      <t xml:space="preserve"> de </t>
    </r>
    <r>
      <rPr>
        <b/>
        <sz val="12"/>
        <color theme="1"/>
        <rFont val="Calibri"/>
        <family val="2"/>
        <scheme val="minor"/>
      </rPr>
      <t>ALAVANCAGEM</t>
    </r>
    <r>
      <rPr>
        <sz val="12"/>
        <color theme="1"/>
        <rFont val="Calibri"/>
        <family val="2"/>
        <scheme val="minor"/>
      </rPr>
      <t xml:space="preserve"> de </t>
    </r>
    <r>
      <rPr>
        <b/>
        <sz val="12"/>
        <color theme="1"/>
        <rFont val="Calibri"/>
        <family val="2"/>
        <scheme val="minor"/>
      </rPr>
      <t>CAPITAL</t>
    </r>
    <r>
      <rPr>
        <sz val="12"/>
        <color theme="1"/>
        <rFont val="Calibri"/>
        <family val="2"/>
        <scheme val="minor"/>
      </rPr>
      <t xml:space="preserve"> ao longo do processo de evolução dos </t>
    </r>
    <r>
      <rPr>
        <b/>
        <sz val="12"/>
        <color theme="1"/>
        <rFont val="Calibri"/>
        <family val="2"/>
        <scheme val="minor"/>
      </rPr>
      <t>EMPREENDIMENTOS</t>
    </r>
    <r>
      <rPr>
        <sz val="12"/>
        <color theme="1"/>
        <rFont val="Calibri"/>
        <family val="2"/>
        <scheme val="minor"/>
      </rPr>
      <t xml:space="preserve"> vinculados ao Programa de Incubadoras da Universidade Estadual de Goiás - PROIN/UEG, considerando seus diferentes aspectos (recursos financeiros, humanos, dentre outros).</t>
    </r>
  </si>
  <si>
    <t>Respostas Empreendimentos</t>
  </si>
  <si>
    <t>Eixo: Empreendedor</t>
  </si>
  <si>
    <t>Eixo: Tecnologia</t>
  </si>
  <si>
    <t>Eixo: Capital</t>
  </si>
  <si>
    <t>Eixo: Mercado</t>
  </si>
  <si>
    <t>Eixo: Gestão</t>
  </si>
  <si>
    <t>2. Os empreendedores possuem formação prática em empreendedorismo.</t>
  </si>
  <si>
    <t>4. As funções e as responsabilidades dos empreendedores estão definidas.</t>
  </si>
  <si>
    <t>5. Qualidade das decisões dos empreendedores.</t>
  </si>
  <si>
    <t>6. Decisões estratégicas e decisões de rotina.</t>
  </si>
  <si>
    <t>7. Decisões assertivas e no momento oportuno.</t>
  </si>
  <si>
    <t>Os empreendedores não investem em seu desenvolvimento.</t>
  </si>
  <si>
    <t>Os empreendedores investem esporadicamente em seu desenvolvimento gerencial, mas não aplicam os conhecimentos adquiridos no empreendimento.</t>
  </si>
  <si>
    <t>Os empreendedores investem esporadicamente em seu desenvolvimento gerencial, e aplicam os conhecimentos adquiridos no empreendimento.</t>
  </si>
  <si>
    <t>Os empreendedores investem regularmente em seu desenvolvimento gerencial, e aplicam os conhecimentos adquiridos no empreendimento.</t>
  </si>
  <si>
    <t>Os empreendedores não possuem formação prática em empreendedorismo.</t>
  </si>
  <si>
    <t>Os empreendedores possuem formação em empreendedorismo, porém, não é prática.</t>
  </si>
  <si>
    <t>Os empreendedores possuem formação prática em empreendedorismo, porém, não aplicam o conhecimento adquirido no empreendimento.</t>
  </si>
  <si>
    <t>Os empreendedores possuem formação prática em empreendedorismo e aplicam o conhecimento adquirido no empreendimento.</t>
  </si>
  <si>
    <t>As funções e as responsabilidades não estão definidas.</t>
  </si>
  <si>
    <t>As funções e as responsabilidades estão definidas informalmente.</t>
  </si>
  <si>
    <t>Boa parte das funções e das responsabilidades estão definidas e documentadas formalmente.</t>
  </si>
  <si>
    <t>Funções e responsabilidades estão definidas e documentadas formalmente.</t>
  </si>
  <si>
    <t>A cultura é de tomada de decisões operacionais, fundamentalmente orientadas ao curto prazo, não permitindo reflexões de médio e curto prazos reuniões entre os empreendedores.</t>
  </si>
  <si>
    <t>As reuniões entre os empreendedores não seguem um calendário regular e, apesar de alguma avaliação dos resultados do negócio, apresentam instabilidade entre o olhar de longo prazo e o foco nas decisões de curto prazo.</t>
  </si>
  <si>
    <t>As decisões de longo prazo são feitas a partir de um processo de decisão estruturado, que assegura a análise das principais alternativas para o negócio.</t>
  </si>
  <si>
    <t>O foco das reuniões entre os empreendedores está no longo prazo e as decisões, tomadas a partir da análise aprofundada dos problemas de negócios, trazem imediato reflexo nas diretrizes de médio e longo prazos.</t>
  </si>
  <si>
    <t>Quase a totalidade das decisões tomadas pelos empreendedores são com foco na rotina.</t>
  </si>
  <si>
    <t>Grande parte das decisões tomadas pelos empreendedores são com foco na rotina e operacionais, e algumas poucas, estratégicas.</t>
  </si>
  <si>
    <t>Equilibrio nas decisões dos empreendedores entre as de rotina e as estratégicas, sendo que as estratégicas, realmente focam no longo prazo.</t>
  </si>
  <si>
    <t>Quase a totalidade das decisões tomadas pelos empreendedores são estratégicas com foco no longo prazo.</t>
  </si>
  <si>
    <t>Quase a totalidade das decisões tomadas pelos empreendedores não são assertivas, nem no momento oportuno.</t>
  </si>
  <si>
    <t>Equilibrio nas decisões dos empreendedores entre erros e acertos, porém, a maior parte atrasada.</t>
  </si>
  <si>
    <t>Equilibrio nas decisões dos empreendedores entre erros e acertos, sendo a maior parte em momento oportuno.</t>
  </si>
  <si>
    <t>Quase a totalidade das decisões tomadas pelos empreendedores são assertivas e no momento oportuno</t>
  </si>
  <si>
    <t>Grande parte das decisões tomadas pelos empreendedores não há consenso.</t>
  </si>
  <si>
    <t>Equilibrio nas decisões tomadas pelos empreendedores entre consenso e não consenso, prevalescendo os casos de não consenso.</t>
  </si>
  <si>
    <t>Equilibrio nas decisões tomadas pelos empreendedores entre consenso e não consenso, prevalescendo os casos de consenso.</t>
  </si>
  <si>
    <t>Quase a totalidade das decisões tomadas pelos empreendedores há consenso.</t>
  </si>
  <si>
    <t>1. Modelo de negócio, proposta de valor e validações iniciais.</t>
  </si>
  <si>
    <t>A proposta de valor não está bem definida. Os principais elementos que constituem o modelo de negócio do empreendimento são desconhecidos. Validações não foram oportunizadas.</t>
  </si>
  <si>
    <t>A proposta de valor está definida. Os principais elementos que constituem o modelo de negócio do empreendimento são desconhecidos. Validações não foram oportunizadas.</t>
  </si>
  <si>
    <t>A proposta de valor está definida. Os principais elementos que constituem o modelo de negócio do empreendimento são conhecidos. Validações não foram oportunizadas.</t>
  </si>
  <si>
    <t>A proposta de valor está definida. Os principais elementos que constituem o modelo de negócio do empreendimento são conhecidos. Validações foram oportunizadas, porém, é resultado de um processo informal de validação.</t>
  </si>
  <si>
    <t>Não foram oportunizadas validações para o tripé de sustentação do negócio.</t>
  </si>
  <si>
    <t>Foram oportunizadas validações para o tripé de sustentação do negócio, porém, é resultado de um processo informal de validação.</t>
  </si>
  <si>
    <t>Foram oportunizadas validações formais para o tripé de sustentação do negócio.</t>
  </si>
  <si>
    <t>O tripe de sustentação do negócio validado. Além disso, as informações obtidas constituem elementos centrais no nosso processo de decisão e operação.</t>
  </si>
  <si>
    <t>Não existe protótipo ou MVP da solução inovadora.</t>
  </si>
  <si>
    <t>O protótipo ou MVP da solução inovadora está sendo desenvolvido. Além disso, o fluxo do processo de prestação do serviço ou comercialização do produto está parcialmente definido.</t>
  </si>
  <si>
    <t>O protótipo ou MVP da solução inovadora e o fluxo do processo de prestação do serviço ou comercialização do produto estão definidos.</t>
  </si>
  <si>
    <t>O protótipo ou MVP da solução inovadora e o fluxo do processo de prestação do serviço ou comercialização do produto estão definidos. Além disso, já foram conduzidos testes e a solução está pronta para iniciar a monetização do negócio.</t>
  </si>
  <si>
    <t>As viabilidades não foram determinadas como parte do processo de validação do tripé de sustentação do negócio. O plano de Desenvolvimento do Produto/Serviço não existe.</t>
  </si>
  <si>
    <t>As viabilidades foram determinadas informalmente. O Plano de Desenvolvimento do Produto/Serviço não existe.</t>
  </si>
  <si>
    <t>As viabilidades foram determinadas formalmente. O Plano de Desenvolvimento do Produto/Serviço foi elaborado.</t>
  </si>
  <si>
    <t>Viabilidades determinadas. Plano de Desenvolvimento do Produto/Serviço elaborado. Informações obtidas constituem elementos centrais do nosso processo de desenvolvimento, sendo complementares ao modelo de negócios e proposta de valor.</t>
  </si>
  <si>
    <t>Os registros e as licenças necessárias à operação não são conhecidas.</t>
  </si>
  <si>
    <t>Alguns registros e algumas licenças necessárias à operação são conhecidas, mas não estão disponíveis.</t>
  </si>
  <si>
    <t>Os registros e as licenças necessárias à operação são conhecidas, mas não estão disponíveis.</t>
  </si>
  <si>
    <t>Os registros e as licenças necessárias à operação são conhecidas e estão disponíveis.</t>
  </si>
  <si>
    <t>A propriedade intelectual/patente, necessários à segurança do negócio e da operação não são conhecidos.</t>
  </si>
  <si>
    <t>A propriedade intelectual/patente, necessários à segurança do negócio e da operação são conhecidos, porém, não foram providenciadas.</t>
  </si>
  <si>
    <t>A propriedade intelectual/patente, necessários à segurança do negócio e da operação são conhecidos, porém, estão sendo providenciados.</t>
  </si>
  <si>
    <t>A propriedade intelectual/patente, necessários à segurança do negócio e da operação são conhecidos e estão disponíveis. Além disso, são atualizadas, considerando requisitos do negócio e exigências legais.</t>
  </si>
  <si>
    <t>Não são obtidas informações comparativas para análise do desempenho e melhoria dos produtos/serviços ou inovação.</t>
  </si>
  <si>
    <t>Ocasionalmente, ou seja, sem esforço direto dos empreendedores, são obtidas informações comparativas para análise do desempenho dos produtos/serviços.</t>
  </si>
  <si>
    <t>Regularmente, ou seja, com esforço direto dos empreendedores, são obtidas informações comparativas para análise do desempenho dos produtos/serviços.</t>
  </si>
  <si>
    <t>Informações comparativas para análise do desempenho oportunizam/oportunizaram melhoria dos produtos/serviços ou inovação.</t>
  </si>
  <si>
    <t>4. Alavancagem financeira.</t>
  </si>
  <si>
    <t>Os empreendedores desconhecem quais são as fontes de fontes de financiamento capazes de oportunizar o desenvolvimento do produto/serviço.</t>
  </si>
  <si>
    <t>Fontes de financiamento, capazes de oportunizar o desenvolvimento do produto/serviço são conhecidas, porém, projetos de inovação não foram apresentados.</t>
  </si>
  <si>
    <t>Fontes de financiamento, capazes de oportunizar o desenvolvimento do produto/serviço são conhecidas e projetos de inovação foram apresentados, porém, não foram aprovados.</t>
  </si>
  <si>
    <t>Fontes de financiamento, capazes de oportunizar o desenvolvimento do produto/serviço são conhecidas e projetos de inovação foram apresentados e aprovados.</t>
  </si>
  <si>
    <t>Não existem projeções de receitas e de custos para orientar os empreendedores na alavancagem do negócio.</t>
  </si>
  <si>
    <t>Existem projeções de receitas e de custos para orientar os empreendedores na alavancagem do negócio, porém, é resultado de um processo informal de definição.</t>
  </si>
  <si>
    <t>Existem projeções de receitas e de custos para orientar os empreendedores na alavancagem do negócio como base de um processo formal de definição.</t>
  </si>
  <si>
    <t xml:space="preserve">Projeções de receitas e de custos foram formalmente definidas. Além disso, ações específicas de alavancagem, com base nessa informações, foram ou estão sendo oportunizadas pelos empreendedores. </t>
  </si>
  <si>
    <t>Desconhecem estratégias, ações e metas capazes de oportunizar a alavancagem financeira do negócio.</t>
  </si>
  <si>
    <t>Conhecem, informalmente, estratégias, ações e metas capazes de oportunizar a alavancagem financeira.</t>
  </si>
  <si>
    <t>Conhecem es estratégias, ações e metas capazes de oportunizar a alavancagem financeira, considerando o exemplo prático vivenciado.</t>
  </si>
  <si>
    <t>Conhecem es estratégias, ações e metas capazes de oportunizar a alavancagem financeira, considerando os vários exemplos práticos vivenciados.</t>
  </si>
  <si>
    <t>2. Dimensionamento de mercado e preço do produto/serviço.</t>
  </si>
  <si>
    <t>9. Estratégias de internacionalização.</t>
  </si>
  <si>
    <t>10. Desempenho das vendas. [NÃO SE APLICA À MODALIDADE DE PRÉ-INCUBAÇÃO]</t>
  </si>
  <si>
    <t>11. Pós-Venda. [NÃO SE APLICA À MODALIDADE DE PRÉ-INCUBAÇÃO]</t>
  </si>
  <si>
    <t>12. Identidade visual. [NÃO SE APLICA À MODALIDADE DE PRÉ-INCUBAÇÃO]</t>
  </si>
  <si>
    <t>Não há nenhum tipo de segmentação de clientes.</t>
  </si>
  <si>
    <t>Os clientes não estão segmentados. A identificação de necessidades é feita de forma intuitiva, ou seja, com os insigths dos empreendedores.</t>
  </si>
  <si>
    <t>Os clientes são segmentados e as necessidades de cada segmento são identificadas informalmente por meio de algumas informações obtidas dos clientes.</t>
  </si>
  <si>
    <t>Os clientes são segmentados e as necessidades de cada segmento são identificadas formalmente por meio de informações obtidas dos principais grupos de clientes e do ambiente no qual estão inseridos.</t>
  </si>
  <si>
    <t>Não há dimensionamento do mercado. O preço do produto/serviço não está definido.</t>
  </si>
  <si>
    <t>Não há dimensionamento do mercado. O preço do produto/serviço é resultado de um processo informal de definição.</t>
  </si>
  <si>
    <t>Há dimensionamento do mercado. O preço é resultado de um processo formal de definição.</t>
  </si>
  <si>
    <t>Há dimensionamento do mercado. O preço é resultado de um processo formal de definição. Além disso, os empreendedores conhecem o potencial financeiro de receitas para cada segmentação de clientes.</t>
  </si>
  <si>
    <t>A proposta de valor do empreendimento e os produtos/serviços não são divulgados.</t>
  </si>
  <si>
    <t>A proposta de valor do empreendimento e os produtos/serviços são divulgados, porém, não consideramos diferentes canais no momento da divulgação.</t>
  </si>
  <si>
    <t>A proposta de valor do empreendimento e os produtos/serviços são divulgados. Além disso, consideramos diferentes canais no momento da divulgação.</t>
  </si>
  <si>
    <t>A proposta de valor do empreendimento e os produtos/serviços são divulgados. Consideramos diferentes canais no momento da divulgação. As especificidades de cada segmento de clientes são respeitadas, ou seja, a comunicação é segmentada.</t>
  </si>
  <si>
    <t>Não disponibilizamos canais para que os clientes apresentem reclamações.</t>
  </si>
  <si>
    <t>Disponibilizamos canais para que os clientes apresentem reclamações, porém, as reclamações recebidas não são registradas e, quando registradas, são tratadas ocasionalmente.</t>
  </si>
  <si>
    <t>As reclamações recebidas são registradas e tratadas regularmente.</t>
  </si>
  <si>
    <t>As reclamações recebidas são registradas e tratadas regularmente e contribuem para a melhoria da oferta dos produtos/serviços. Além disso, o cliente é informado da solução dada à sua reclamação.</t>
  </si>
  <si>
    <t>As informações obtidas, para cada segmentação de clientes, não são analisadas.</t>
  </si>
  <si>
    <t>As informações obtidas, para cada segmentação de clientes, são analisadas ocasionalmente.</t>
  </si>
  <si>
    <t>As informações obtidas, para cada segmentação de clientes, são analisadas e utilizadas regularmente.</t>
  </si>
  <si>
    <t>As informações obtidas, para cada segmentação de clientes, são analisadas e utilizadas regularmente. Além disso, possibilita intensificar a fidelização, captação de novos e o estabelecimento de relacionamentos efetivos.</t>
  </si>
  <si>
    <t>Não há cadastro de clientes.</t>
  </si>
  <si>
    <t>Há cadastro de clientes, porém, desatualizado.</t>
  </si>
  <si>
    <t>Há cadastro de clientes atualizado, porém, não segmentado.</t>
  </si>
  <si>
    <t>Há cadastro de clientes atualizado e segmentado.</t>
  </si>
  <si>
    <t xml:space="preserve">Ações de prospecção para identifcação de novas oportunidades de negócio não são realizadas. Além disso, os empreendedores não participam de eventos ou outras ações que oportunizam acesso a novos mercados. </t>
  </si>
  <si>
    <t xml:space="preserve">Poucas ações (&lt;=3 / ano) de prospecção são realizadas. Além disso, os empreendedores participam pouco de eventos ou outras ações que oportunizam acesso a novos mercados. </t>
  </si>
  <si>
    <t>Muitas ações (&lt;=6 / ano) de prospecção são realizadas. Além disso, os empreendedores participam muitas vezes de eventos ou outras ações que oportunizam acesso a novos mercados.</t>
  </si>
  <si>
    <t xml:space="preserve">Várias ações (&gt;=7 / ano) de prospecção são realizadas. Além disso, os empreendedores participam várias vezes de eventos ou outras ações que oportunizam acesso a novos mercados. </t>
  </si>
  <si>
    <t>Não são buscadas informações externas para conhecer a dinâmica do mercado.</t>
  </si>
  <si>
    <t>Eventualmente são buscadas informações externas para conhecer a dinâmica do mercado.</t>
  </si>
  <si>
    <t>Constantemente são buscadas informações externas para conhecer a dinâmica do mercado, porém, não oportunizam a identificação de novas oportunidades de inovação.</t>
  </si>
  <si>
    <t>Constantemente são buscadas informações externas para conhecer a dinâmica do mercado. Além disso, oportunizam a identificação de novas oportunidades de inovação.</t>
  </si>
  <si>
    <t>Nosso foco é o mercado interno. Não conhecemos as oportunidades externas de negócio e, por esse motivo, as estratégias de internacionalização não estão definidas.</t>
  </si>
  <si>
    <t>Nosso foco é o mercado interno. Conhecemos as oportunidades externas de negócio, porém, as estratégias de internacionalização não estão definidas.</t>
  </si>
  <si>
    <t>Nosso foco é o mercado interno. Conhecemos as oportunidades externas de negócio e, além disso, as estratégias de internacionalização estão sendo definidas, porém, informalmente.</t>
  </si>
  <si>
    <t>Nosso foco é o mercado interno e externo. Além disso, as estratégias de internacionalização estão sendo formalmente definidas.</t>
  </si>
  <si>
    <t>O desempenho das vendas de produtos/serviços não é acompanhado.</t>
  </si>
  <si>
    <t>O desempenho das vendas de produtos/serviços é acompanhado, porém, as metas não estão estabelecidas.</t>
  </si>
  <si>
    <t>O desempenho das vendas de produtos/serviços é acompanhado e metas de desempenho estão estabelecidas como parte de um processo informal de definição de metas.</t>
  </si>
  <si>
    <t>O desempenho das vendas de produtos/serviços é acompanhado e metas de desempenho estão estabelecidas como parte de um processo formal de definição de metas.</t>
  </si>
  <si>
    <t>Não existe pós venda.</t>
  </si>
  <si>
    <t>A  pós-venda é realizada, porém, de informalmente.</t>
  </si>
  <si>
    <t>A  pós-venda é realizada, porém, não considera os principais segmentos de clientes do empreendimento.</t>
  </si>
  <si>
    <t>A pós venda é realizada e considera os principais segmentos de clientes do empreendimento.</t>
  </si>
  <si>
    <t>A identidade visual do empreendimento não está definida.</t>
  </si>
  <si>
    <t>A identidade visual está definida, porém, precisa ser revista para considerar a proposta de valor e a estratégia de negócio.</t>
  </si>
  <si>
    <t>A identidade visual está definida e considera a proposta de valor e a estratégia de negócio.</t>
  </si>
  <si>
    <t>A identidade visual está definida e considera a proposta de valor e a estratégia de negócios. Além disso, respeita os diferentes segmentos de atuação e as especificidades dos canais de comunicação.</t>
  </si>
  <si>
    <t>8. Os potenciais fornecedores requeridos pelo negócio são conhecidos.</t>
  </si>
  <si>
    <t>9. Os principais fornecedores estão estabelecidos (vínculo formal) e, além disso, são avaliados.</t>
  </si>
  <si>
    <t>O empreendimento não está legalmente constituído. Além disso, as exigências legais aplicáveis não são conhecidas.</t>
  </si>
  <si>
    <t>O empreendimento está próximo de se tornar legalmente constituído. Além disso, algumas exigências legais aplicáveis são conhecidas, porém, não são mantidas atualizadas.</t>
  </si>
  <si>
    <t>O empreendimento está legalmente constituído. Além disso, as exigências legais aplicáveis são conhecidas, porém, não são mantidas atualizadas.</t>
  </si>
  <si>
    <t>O empreendimento está legalmente constituído. Além disso, as exigências legais aplicáveis são conhecidas e mantidas atualizadas.</t>
  </si>
  <si>
    <t>Os impactos negativos causados pelo empreendimento não são conhecidos e nem tratados.</t>
  </si>
  <si>
    <t>Os impactos negativos causados pelo empreendimento não são conhecidos, mas algumas ações são adotadas e podem evitar prejuízos relacionados no momento da operação.</t>
  </si>
  <si>
    <t>Os impactos negativos causados pelo empreendimento são conhecidos e alguns são tratados.</t>
  </si>
  <si>
    <t>Os impactos negativos causados pelo empreendimento são conhecidos e alguns são tratados de forma planejada por meio de ações adequadas.</t>
  </si>
  <si>
    <t>Os perigos e os riscos relacionados à saúde e a segurança no trabalho dos empreendedores não são identificados e não são tratados.</t>
  </si>
  <si>
    <t>Os perigos e os riscos relacionados à saúde e a segurança no trabalho dos empreendedores não são identificados, mas algumas ações são adotadas.</t>
  </si>
  <si>
    <t>Os perigos e os riscos relacionados à saúde e a segurança no trabalho dos empreendedores são identificadoso e alguns são tratados.</t>
  </si>
  <si>
    <t>Os perigos e os riscos relacionados à saúde e a segurança no trabalho dos empreendedores são identificados e alguns são tratados de forma planejada por meio de ações adequadas.</t>
  </si>
  <si>
    <t>A ideologia central do empreendimento não está definida.</t>
  </si>
  <si>
    <t>A ideologia central do empreendimento está definida, porém, a sua formulação foi feita de forma empírica (derivado da experiência comum dos empreendedores envolvidos).</t>
  </si>
  <si>
    <t>A ideologia central do empreendimento foi definida a partir de uma iniciativa formal que usou, por exemplo, uma análise do ambiente de negócio.</t>
  </si>
  <si>
    <t>A ideologia central do empreendimento está definida, sendo atualizada sempre que sugem novas informações sobre o ambiente de negócio.</t>
  </si>
  <si>
    <t>As principais diretrizes e os respectivos planos de ação estão definidas informalmente e com uso restrito de informações internas e externas.</t>
  </si>
  <si>
    <t>As principais diretrizes e os respectivos planos de ação estão definidas informalmente, porém, são consideradas informações internas e externas relacionadas ao negócio.</t>
  </si>
  <si>
    <t>As principais diretrizes e os respectivos planos estão definidas formalmente, por meio de método que considera a análise de informações internas e externas.</t>
  </si>
  <si>
    <t>Indicadores e metas para os planos de ação e para o empreendimento não estão definidos.</t>
  </si>
  <si>
    <t>Indicadores e metas para os planos de ação e para o empreendimento estão definidas informalmente</t>
  </si>
  <si>
    <t>Indicadores e metas para os planos de ação e para o empreendimento estão definidas informalmente, porém, as principais informações relacionadas ao negócio são consideradas.</t>
  </si>
  <si>
    <t>Indicadores e metas para os planos de ação e para o empreendimento estão definidas formalmente, por meio de método que considere as as principais diretrizes relacionadas ao negócio.</t>
  </si>
  <si>
    <t>A jornada do cliente e os processos que suportam essa jornada não estão padronizados e não são controlados.</t>
  </si>
  <si>
    <t>A jornada do cliente e os processos que suportam essa jornada são executados de forma padronizada, porém, os padrões e os instrumentos de controle não são documentados.</t>
  </si>
  <si>
    <t>A jornada do cliente e os processos que suportam essa jornada são executados de forma padronizada, com padrões e instrumentos de controle padronizados.</t>
  </si>
  <si>
    <t>A jornada do cliente e os processos que suportam essa jornada são executados de forma padronizada, com padrões documentados. Além disso, os processos foram concebidos no sentido de traduzir as necessidades dos clientes.</t>
  </si>
  <si>
    <t>Os potenciais fornecedores requeridos pelo negócio não são conhecidos.</t>
  </si>
  <si>
    <t>Os potenciais fornecedores requeridos pelo negócio são conhecidos, porém, não foi providenciado nenhum contato formal para confirmar o potencial.</t>
  </si>
  <si>
    <t>Os potenciais fornecedores requeridos pelo negócio são conhecidos. Além disso, foi providenciado contato para confirmar o potencial.</t>
  </si>
  <si>
    <t>Os potenciais fornecedores requeridos pelo negócio são conhecidos. Foi providenciado contato para confirmar o potencial. Termos de parceria (vínculo formal) estão sendo providenciados.</t>
  </si>
  <si>
    <t>Os principais fornecedores não estão estabelecidos e nenhuma providência para formalizar as relações estão sendo providenciadas.</t>
  </si>
  <si>
    <t>Os principais fornecedores não estão estabelecidos, porém, providencias para formalizar a relação estão sendo providenciadas</t>
  </si>
  <si>
    <t>Os principais fornecedores estão estabelecidos, porém, não estão previstas avaliações segundo critérios definidos.</t>
  </si>
  <si>
    <t>Os principais fornecedores estão estabelecidos. Além disso, avalliações segundo critérios definidos estão previstas.</t>
  </si>
  <si>
    <t>Eixos</t>
  </si>
  <si>
    <t>Empreendedor</t>
  </si>
  <si>
    <t>Tecnologia</t>
  </si>
  <si>
    <t>Capital</t>
  </si>
  <si>
    <t>Mercado</t>
  </si>
  <si>
    <t>Gestão</t>
  </si>
  <si>
    <t>Resposta Empreendimento</t>
  </si>
  <si>
    <t>1. Investimento no desenvolvimento e aplicação de conhecimentos.</t>
  </si>
  <si>
    <t>8. Alinhamento nas decisões estratégicas e de rotina.</t>
  </si>
  <si>
    <t>2. Validação do Tripé de Sustentação do Negócio.</t>
  </si>
  <si>
    <t>3. Protótipo ou Produto Mínimo Viável e Fluxo do Processo.</t>
  </si>
  <si>
    <t>5. Os registros e licenças.</t>
  </si>
  <si>
    <t>6. Propriedade Intelectual/Patente.</t>
  </si>
  <si>
    <t>7. Informações comparativas na análise do desempenho e melhoria.</t>
  </si>
  <si>
    <t>2. Fontes de financiamento.</t>
  </si>
  <si>
    <t>3. Projeções de receitas e de custos.</t>
  </si>
  <si>
    <t>1. Segmentação de clientes e necessidades.</t>
  </si>
  <si>
    <t>3. Canais</t>
  </si>
  <si>
    <t>4. Reclamações dos clientes. [NÃO SE APLICA À MODALIDADE DE PRÉ-INCUBAÇÃO]</t>
  </si>
  <si>
    <t>5. Informações para fidelização, a captação de novos clientes e relacionamento. [NÃO SE APLICA À MODALIDADE DE PRÉ-INCUBAÇÃO]</t>
  </si>
  <si>
    <t>6. Cadastro de clientes. [NÃO SE APLICA À MODALIDADE DE PRÉ-INCUBAÇÃO]</t>
  </si>
  <si>
    <t>7. Prospecção.</t>
  </si>
  <si>
    <t>8. Informações externas e oportunidades de inovação.</t>
  </si>
  <si>
    <t>1. Empreendimento legalmente constituído.</t>
  </si>
  <si>
    <t>2. Impactos negativos causados pelo empreendimento são conhecidos e tratados.</t>
  </si>
  <si>
    <t>3. Os perigos e os riscos relacionados à SST dos empreendedores são identificados e tratados.</t>
  </si>
  <si>
    <t>4. Ideologia Missão, Visão, Valores.</t>
  </si>
  <si>
    <t>5. As principais diretrizes e os respectivos planos de ação.</t>
  </si>
  <si>
    <t>6. Indicadores e metas para os planos de ação e para o empreendimento como um todo.</t>
  </si>
  <si>
    <t>7. A jornada do cliente e os processos de suporte. [NÃO SE APLICA À MODALIDADE DE PRÉ-INCUBAÇÃO]</t>
  </si>
  <si>
    <t>DIAGNÓSTICO DE MATURIDADE DOS EMPREENDIMENTOS VINCULADOS AO PROIN/UEG
EIXO: EMPREENDEDOR</t>
  </si>
  <si>
    <t>DIAGNÓSTICO DE MATURIDADE DOS EMPREENDIMENTOS VINCULADOS AO PROIN/UEG
EIXO: TECNOLOGIA</t>
  </si>
  <si>
    <t>DIAGNÓSTICO DE MATURIDADE DOS EMPREENDIMENTOS VINCULADOS AO PROIN/UEG
EIXO: CAPITAL</t>
  </si>
  <si>
    <t>DIAGNÓSTICO DE MATURIDADE DOS EMPREENDIMENTOS VINCULADOS AO PROIN/UEG
EIXO: MERCADO</t>
  </si>
  <si>
    <t>DIAGNÓSTICO DE MATURIDADE DOS EMPREENDIMENTOS VINCULADOS AO PROIN/UEG
EIXO: GESTÃO</t>
  </si>
  <si>
    <t>DIAGNÓSTICO DE MATURIDADE DOS EMPREENDIMENTOS VINCULADOS AO PROIN/UEG
P E R F I L    E M P R E E N D E D O R    3</t>
  </si>
  <si>
    <t>DIAGNÓSTICO DE MATURIDADE DOS EMPREENDIMENTOS VINCULADOS AO PROIN/UEG
P E R F I L    E M P R E E N D E D O R    2</t>
  </si>
  <si>
    <t>1. Quando desconheço algo, não me importo em buscar informações necessárias para o entendimento do negócio.</t>
  </si>
  <si>
    <t>30. Realizaria vendas para clientes, ainda que não tenha lucro imediato, tendo em vista, futuras possibilidades de outros negócios com eles.</t>
  </si>
  <si>
    <t>Não existe reconhecimento e incentivos.</t>
  </si>
  <si>
    <t>Informalmente, existe reconhecimento e incentivo para os empreendedores quando alcançam os resultados esperados, porém, a orientação é de curto prazo.</t>
  </si>
  <si>
    <t>Formalmente, existe reconhecimento e incentivo para os empreendedores quando alcançam os resultados esperados, porém, a orientação continua sendo de curto prazo.</t>
  </si>
  <si>
    <t>Modelo de reconhecimento e incentivo formal orientado aos resultados de médio e longo prazos.</t>
  </si>
  <si>
    <t>4. Quanto a Análise de viabilidade (mercado, operacional, financeira, crescimento, produto/serviço) e Plano de Desenvolvimento do Produto/Serviço, necessários para o Planejamento do Negócio e do Produto, Serviço e/ou Tecnologia.</t>
  </si>
  <si>
    <t>1. Recursos/investimentos financeiros necessários para o desenvolvimento do produto e/ou serviço ou operação (venda e distribuição).</t>
  </si>
  <si>
    <t>5. Cultura de projetos e captação de recursos para desenvolvimento do produto e/ou serviço.</t>
  </si>
  <si>
    <t>Demandamos apoio financeiro total, ou seja, não dispomos dos recursos/investimentos necessários para o desenvolvimento do produto e/ou serviço ou operação e não contamos com o suporte de terceiros.</t>
  </si>
  <si>
    <t>Demandamos apoio financeiro parcial, ou seja, não dispomos dos recursos/investimentos necessários, porém, contamos com suporte de terceiros. O contrário também se aplica.</t>
  </si>
  <si>
    <t>Demandamos apoio financeiro parcial, ou seja, dispomos, parcialmente, dos recursos/investimentos necessários e, além disso, contamos com suporte também parcial de terceiros.</t>
  </si>
  <si>
    <t>Não demandamos apoio financeiro, ou seja, dispomos dos recursos/investimentos necessários e/ou contamos com suporte terceiros.</t>
  </si>
  <si>
    <t>Os empreendedores não enxergam a gestão de projetos e a oportunidade de captação de recursos como parte do processo de melhoria ou inovação do produto/serviço.</t>
  </si>
  <si>
    <t>Os empreendedores enxergam, informalmente, a gestão de projetos e a oportunidade de captação de recursos como parte do processo de melhoria ou inovação do produto/serviço.</t>
  </si>
  <si>
    <t>Para os empreendedores, a gestão de projetos e as captações de recursos podem oportunizar melhoria ou inovação do produto/serviço, considerando o exemplo prático de resultado vivenciado.</t>
  </si>
  <si>
    <t>A gestão de projetos e as captações de recursos são bases para melhoria ou inovação do produto/serviço, considerando alguns exemplos práticos de resultados vivenciados. Além disso, estão impulsionando o alcance da visão de futuro.</t>
  </si>
  <si>
    <t>Comentários:</t>
  </si>
  <si>
    <t>Empreendedor 4</t>
  </si>
  <si>
    <t>DIAGNÓSTICO DE MATURIDADE DOS EMPREENDIMENTOS VINCULADOS AO PROIN/UEG
P E R F I L    E M P R E E N D E D O R    4</t>
  </si>
  <si>
    <t>Empreendedores:</t>
  </si>
  <si>
    <t>Maturidade:</t>
  </si>
  <si>
    <t>Entregas:</t>
  </si>
  <si>
    <t>Total:</t>
  </si>
  <si>
    <t>TOTAL:</t>
  </si>
  <si>
    <t>5. Reconheço minha responsabilidade nas falhas e eventuais prejuízos financeiros do empreendimento.</t>
  </si>
  <si>
    <t>9. Reconhecimento e incentivo entre os empreendedores são praticados à medida que os resultados esperados são alcançados (regra clara na partilha dos resultados positivos e negativos). [NÃO SE APLICA À MODALIDADE DE PRÉ-INCUBAÇÃO]</t>
  </si>
  <si>
    <t>3. Os empreendedores praticam ações para desenvolvimento das caracteristicas empreendedoras.</t>
  </si>
  <si>
    <t>As caracteristicas empreendedoras não são conhecidas.</t>
  </si>
  <si>
    <t>As caracteristicas empreendedoras são conhecidas, porém não são reazadas ações para seu desenvolvimento.</t>
  </si>
  <si>
    <t>As caracteristicas empreendedoras são conhecidas e avaliadas e existem ações exporáticas para seu desenvolvimento.</t>
  </si>
  <si>
    <t>As caracteristicas empreendedoras estão sistematicamente sendo avaliadas e com ações de desenvolvimento.</t>
  </si>
  <si>
    <t xml:space="preserve">Comentários: </t>
  </si>
  <si>
    <t>1. Apresentou modelo de Negócio:</t>
  </si>
  <si>
    <t xml:space="preserve">2. Apresentou Plano de Negócio: </t>
  </si>
  <si>
    <t>3. Apresentou Plano Tecnológico:</t>
  </si>
  <si>
    <t>4. Apresentou Plano de Marketing:</t>
  </si>
  <si>
    <t>AVALIAÇÃO DA MATURIDADE DE EMPREENDIMENTOS INCUBADOS</t>
  </si>
  <si>
    <t>Diag. Anterior:</t>
  </si>
  <si>
    <t>Diag. Atual:</t>
  </si>
  <si>
    <t>2.1. Aumento do faturamento:</t>
  </si>
  <si>
    <t>2.2. Aumento da Lucratividade:</t>
  </si>
  <si>
    <t>2.3. Aumento da Taxa de Sucesso:</t>
  </si>
  <si>
    <t>2.4. Aumento do Ticket médio:</t>
  </si>
  <si>
    <t>2.5. Aumento da Capacidade produtiva:</t>
  </si>
  <si>
    <t>2.6. Aumento dos investimentos captados:</t>
  </si>
  <si>
    <t>2.7. Aumento do dimensionamento da equipe:</t>
  </si>
  <si>
    <t>2.8. Apresentou registros necessários:</t>
  </si>
  <si>
    <t>3.1. Desenvolvimento do produto:</t>
  </si>
  <si>
    <t>3.2. Aumento do investimento em novas tecnologias:</t>
  </si>
  <si>
    <t>4.1. Aumento do investimento em Marketing:</t>
  </si>
  <si>
    <t>4.2. Aumento de leads qualificados:</t>
  </si>
  <si>
    <t xml:space="preserve">1.1. Foram realizadas pesquisas de validação? </t>
  </si>
  <si>
    <t>5. Apresentou Sumário Executivo:</t>
  </si>
  <si>
    <t>Comentários:  no plano de negócio por exemplo.</t>
  </si>
  <si>
    <t>DIAGNÓSTICO DE MATURIDADE DOS EMPREENDIMENTOS VINCULADOS AO PROIN/UEG
P E R F I L    E M P R E E N D E D O R    1 (Aluísio M. Ramos)</t>
  </si>
  <si>
    <t>Ainda não comercializamos,</t>
  </si>
  <si>
    <t>Ainda não comercializamos.</t>
  </si>
  <si>
    <t>140l/mês</t>
  </si>
  <si>
    <t>480l/mês</t>
  </si>
  <si>
    <t>Comentários: não cabe em nosso negocio. Temos registro da marca e logotipo</t>
  </si>
  <si>
    <t xml:space="preserve">Comentários:  </t>
  </si>
  <si>
    <t>não temos foco de internacionalização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</si>
</sst>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R$&quot;* #,##0.00_);_(&quot;R$&quot;* \(#,##0.00\);_(&quot;R$&quot;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133">
    <xf numFmtId="0" fontId="0" fillId="0" borderId="0" xfId="0"/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0" fillId="3" borderId="0" xfId="0" applyFill="1"/>
    <xf numFmtId="0" fontId="1" fillId="3" borderId="0" xfId="0" applyFont="1" applyFill="1" applyAlignment="1">
      <alignment horizontal="center" vertical="center" textRotation="90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 textRotation="90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textRotation="90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3" xfId="0" applyFill="1" applyBorder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 wrapText="1"/>
    </xf>
    <xf numFmtId="0" fontId="0" fillId="6" borderId="0" xfId="0" applyFill="1"/>
    <xf numFmtId="0" fontId="7" fillId="5" borderId="0" xfId="0" applyFont="1" applyFill="1" applyBorder="1"/>
    <xf numFmtId="0" fontId="7" fillId="5" borderId="0" xfId="0" applyFont="1" applyFill="1" applyBorder="1" applyAlignment="1">
      <alignment horizontal="center"/>
    </xf>
    <xf numFmtId="0" fontId="7" fillId="5" borderId="2" xfId="0" applyFont="1" applyFill="1" applyBorder="1"/>
    <xf numFmtId="0" fontId="7" fillId="5" borderId="3" xfId="0" applyFont="1" applyFill="1" applyBorder="1"/>
    <xf numFmtId="0" fontId="7" fillId="3" borderId="0" xfId="0" applyFont="1" applyFill="1"/>
    <xf numFmtId="0" fontId="0" fillId="7" borderId="2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7" fillId="7" borderId="0" xfId="0" applyFont="1" applyFill="1" applyBorder="1" applyAlignment="1">
      <alignment horizontal="center"/>
    </xf>
    <xf numFmtId="0" fontId="0" fillId="5" borderId="2" xfId="0" applyFont="1" applyFill="1" applyBorder="1"/>
    <xf numFmtId="0" fontId="0" fillId="5" borderId="2" xfId="0" applyFont="1" applyFill="1" applyBorder="1" applyAlignment="1">
      <alignment horizontal="center"/>
    </xf>
    <xf numFmtId="0" fontId="0" fillId="7" borderId="2" xfId="0" applyFont="1" applyFill="1" applyBorder="1" applyAlignment="1">
      <alignment horizontal="center"/>
    </xf>
    <xf numFmtId="0" fontId="0" fillId="3" borderId="0" xfId="0" applyFont="1" applyFill="1"/>
    <xf numFmtId="0" fontId="0" fillId="5" borderId="0" xfId="0" applyFont="1" applyFill="1" applyBorder="1"/>
    <xf numFmtId="0" fontId="0" fillId="5" borderId="0" xfId="0" applyFont="1" applyFill="1" applyBorder="1" applyAlignment="1">
      <alignment horizontal="center"/>
    </xf>
    <xf numFmtId="0" fontId="0" fillId="7" borderId="0" xfId="0" applyFont="1" applyFill="1" applyBorder="1" applyAlignment="1">
      <alignment horizontal="center"/>
    </xf>
    <xf numFmtId="0" fontId="8" fillId="5" borderId="0" xfId="0" applyFont="1" applyFill="1" applyBorder="1"/>
    <xf numFmtId="0" fontId="8" fillId="5" borderId="0" xfId="0" applyFont="1" applyFill="1" applyBorder="1" applyAlignment="1">
      <alignment horizontal="center"/>
    </xf>
    <xf numFmtId="0" fontId="8" fillId="7" borderId="0" xfId="0" applyFont="1" applyFill="1" applyBorder="1" applyAlignment="1">
      <alignment horizontal="center"/>
    </xf>
    <xf numFmtId="0" fontId="8" fillId="5" borderId="2" xfId="0" applyFont="1" applyFill="1" applyBorder="1"/>
    <xf numFmtId="0" fontId="8" fillId="5" borderId="3" xfId="0" applyFont="1" applyFill="1" applyBorder="1"/>
    <xf numFmtId="0" fontId="8" fillId="3" borderId="0" xfId="0" applyFont="1" applyFill="1"/>
    <xf numFmtId="0" fontId="0" fillId="5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5" borderId="0" xfId="0" applyNumberFormat="1" applyFill="1" applyBorder="1"/>
    <xf numFmtId="9" fontId="1" fillId="5" borderId="2" xfId="0" applyNumberFormat="1" applyFont="1" applyFill="1" applyBorder="1" applyAlignment="1">
      <alignment horizontal="center"/>
    </xf>
    <xf numFmtId="9" fontId="0" fillId="5" borderId="2" xfId="0" applyNumberFormat="1" applyFill="1" applyBorder="1" applyAlignment="1">
      <alignment horizontal="center"/>
    </xf>
    <xf numFmtId="9" fontId="0" fillId="5" borderId="0" xfId="0" applyNumberFormat="1" applyFill="1" applyBorder="1" applyAlignment="1">
      <alignment horizontal="center"/>
    </xf>
    <xf numFmtId="9" fontId="7" fillId="5" borderId="0" xfId="0" applyNumberFormat="1" applyFont="1" applyFill="1" applyBorder="1" applyAlignment="1">
      <alignment horizontal="center"/>
    </xf>
    <xf numFmtId="9" fontId="1" fillId="5" borderId="0" xfId="0" applyNumberFormat="1" applyFont="1" applyFill="1" applyBorder="1" applyAlignment="1">
      <alignment horizontal="center"/>
    </xf>
    <xf numFmtId="9" fontId="9" fillId="5" borderId="0" xfId="0" applyNumberFormat="1" applyFont="1" applyFill="1" applyBorder="1" applyAlignment="1">
      <alignment horizontal="center"/>
    </xf>
    <xf numFmtId="9" fontId="0" fillId="5" borderId="2" xfId="0" applyNumberFormat="1" applyFont="1" applyFill="1" applyBorder="1" applyAlignment="1">
      <alignment horizontal="center"/>
    </xf>
    <xf numFmtId="9" fontId="0" fillId="5" borderId="0" xfId="0" applyNumberFormat="1" applyFont="1" applyFill="1" applyBorder="1" applyAlignment="1">
      <alignment horizontal="center"/>
    </xf>
    <xf numFmtId="9" fontId="8" fillId="5" borderId="0" xfId="0" applyNumberFormat="1" applyFont="1" applyFill="1" applyBorder="1" applyAlignment="1">
      <alignment horizontal="center"/>
    </xf>
    <xf numFmtId="9" fontId="0" fillId="5" borderId="8" xfId="0" applyNumberFormat="1" applyFill="1" applyBorder="1" applyAlignment="1">
      <alignment horizontal="center"/>
    </xf>
    <xf numFmtId="9" fontId="0" fillId="2" borderId="8" xfId="0" applyNumberFormat="1" applyFill="1" applyBorder="1" applyAlignment="1">
      <alignment horizontal="center"/>
    </xf>
    <xf numFmtId="10" fontId="1" fillId="3" borderId="2" xfId="0" applyNumberFormat="1" applyFont="1" applyFill="1" applyBorder="1"/>
    <xf numFmtId="0" fontId="0" fillId="3" borderId="2" xfId="0" applyFill="1" applyBorder="1"/>
    <xf numFmtId="10" fontId="1" fillId="3" borderId="0" xfId="0" applyNumberFormat="1" applyFont="1" applyFill="1" applyBorder="1"/>
    <xf numFmtId="0" fontId="0" fillId="3" borderId="0" xfId="0" applyFill="1" applyBorder="1"/>
    <xf numFmtId="0" fontId="1" fillId="3" borderId="18" xfId="0" applyFont="1" applyFill="1" applyBorder="1"/>
    <xf numFmtId="10" fontId="1" fillId="3" borderId="19" xfId="0" applyNumberFormat="1" applyFont="1" applyFill="1" applyBorder="1"/>
    <xf numFmtId="0" fontId="0" fillId="3" borderId="19" xfId="0" applyFill="1" applyBorder="1"/>
    <xf numFmtId="0" fontId="1" fillId="3" borderId="0" xfId="0" applyFont="1" applyFill="1"/>
    <xf numFmtId="0" fontId="5" fillId="3" borderId="0" xfId="0" applyFont="1" applyFill="1"/>
    <xf numFmtId="9" fontId="5" fillId="3" borderId="0" xfId="0" applyNumberFormat="1" applyFont="1" applyFill="1"/>
    <xf numFmtId="0" fontId="15" fillId="3" borderId="0" xfId="0" applyFont="1" applyFill="1" applyBorder="1"/>
    <xf numFmtId="0" fontId="14" fillId="3" borderId="7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15" fillId="3" borderId="0" xfId="0" applyFont="1" applyFill="1"/>
    <xf numFmtId="0" fontId="13" fillId="3" borderId="0" xfId="0" applyFont="1" applyFill="1"/>
    <xf numFmtId="9" fontId="13" fillId="3" borderId="0" xfId="1" applyFont="1" applyFill="1"/>
    <xf numFmtId="0" fontId="0" fillId="8" borderId="0" xfId="0" applyFill="1"/>
    <xf numFmtId="0" fontId="15" fillId="8" borderId="0" xfId="0" applyFont="1" applyFill="1"/>
    <xf numFmtId="10" fontId="1" fillId="8" borderId="0" xfId="0" applyNumberFormat="1" applyFont="1" applyFill="1" applyBorder="1"/>
    <xf numFmtId="0" fontId="0" fillId="8" borderId="0" xfId="0" applyFill="1" applyBorder="1"/>
    <xf numFmtId="0" fontId="1" fillId="8" borderId="0" xfId="0" applyFont="1" applyFill="1" applyBorder="1"/>
    <xf numFmtId="0" fontId="16" fillId="8" borderId="0" xfId="0" applyFont="1" applyFill="1"/>
    <xf numFmtId="0" fontId="6" fillId="8" borderId="0" xfId="0" applyFont="1" applyFill="1"/>
    <xf numFmtId="0" fontId="1" fillId="8" borderId="0" xfId="0" applyFont="1" applyFill="1"/>
    <xf numFmtId="0" fontId="16" fillId="8" borderId="0" xfId="0" applyFont="1" applyFill="1" applyBorder="1"/>
    <xf numFmtId="10" fontId="11" fillId="3" borderId="1" xfId="0" applyNumberFormat="1" applyFont="1" applyFill="1" applyBorder="1"/>
    <xf numFmtId="10" fontId="11" fillId="3" borderId="7" xfId="0" applyNumberFormat="1" applyFont="1" applyFill="1" applyBorder="1"/>
    <xf numFmtId="0" fontId="11" fillId="3" borderId="7" xfId="0" applyFont="1" applyFill="1" applyBorder="1"/>
    <xf numFmtId="9" fontId="17" fillId="3" borderId="0" xfId="0" applyNumberFormat="1" applyFont="1" applyFill="1"/>
    <xf numFmtId="10" fontId="11" fillId="3" borderId="0" xfId="0" applyNumberFormat="1" applyFont="1" applyFill="1"/>
    <xf numFmtId="10" fontId="17" fillId="3" borderId="0" xfId="0" applyNumberFormat="1" applyFont="1" applyFill="1"/>
    <xf numFmtId="0" fontId="13" fillId="8" borderId="0" xfId="0" applyFont="1" applyFill="1"/>
    <xf numFmtId="9" fontId="13" fillId="8" borderId="0" xfId="1" applyFont="1" applyFill="1"/>
    <xf numFmtId="9" fontId="15" fillId="8" borderId="0" xfId="0" applyNumberFormat="1" applyFont="1" applyFill="1"/>
    <xf numFmtId="0" fontId="18" fillId="8" borderId="0" xfId="0" applyFont="1" applyFill="1"/>
    <xf numFmtId="0" fontId="14" fillId="3" borderId="7" xfId="0" applyFont="1" applyFill="1" applyBorder="1" applyAlignment="1">
      <alignment horizontal="left" vertical="center"/>
    </xf>
    <xf numFmtId="0" fontId="14" fillId="3" borderId="0" xfId="0" applyFont="1" applyFill="1" applyBorder="1" applyAlignment="1">
      <alignment horizontal="left" vertical="center"/>
    </xf>
    <xf numFmtId="164" fontId="14" fillId="3" borderId="8" xfId="2" applyFont="1" applyFill="1" applyBorder="1" applyAlignment="1">
      <alignment horizontal="left" vertical="center"/>
    </xf>
    <xf numFmtId="0" fontId="14" fillId="3" borderId="0" xfId="0" applyFont="1" applyFill="1" applyBorder="1" applyAlignment="1">
      <alignment horizontal="left" vertical="center" wrapText="1"/>
    </xf>
    <xf numFmtId="0" fontId="14" fillId="3" borderId="0" xfId="0" applyFont="1" applyFill="1" applyBorder="1" applyAlignment="1">
      <alignment horizontal="left" vertical="center"/>
    </xf>
    <xf numFmtId="2" fontId="14" fillId="3" borderId="21" xfId="2" applyNumberFormat="1" applyFont="1" applyFill="1" applyBorder="1" applyAlignment="1">
      <alignment horizontal="left" vertical="center"/>
    </xf>
    <xf numFmtId="2" fontId="14" fillId="3" borderId="2" xfId="2" applyNumberFormat="1" applyFont="1" applyFill="1" applyBorder="1" applyAlignment="1">
      <alignment horizontal="left" vertical="center"/>
    </xf>
    <xf numFmtId="0" fontId="15" fillId="8" borderId="0" xfId="0" applyFont="1" applyFill="1" applyBorder="1"/>
    <xf numFmtId="9" fontId="16" fillId="8" borderId="0" xfId="1" applyFont="1" applyFill="1"/>
    <xf numFmtId="9" fontId="13" fillId="3" borderId="17" xfId="1" applyFont="1" applyFill="1" applyBorder="1"/>
    <xf numFmtId="164" fontId="19" fillId="3" borderId="8" xfId="2" applyFont="1" applyFill="1" applyBorder="1" applyAlignment="1">
      <alignment horizontal="left" vertical="center"/>
    </xf>
    <xf numFmtId="9" fontId="19" fillId="3" borderId="8" xfId="1" applyFont="1" applyFill="1" applyBorder="1" applyAlignment="1">
      <alignment horizontal="left" vertical="center"/>
    </xf>
    <xf numFmtId="2" fontId="19" fillId="3" borderId="8" xfId="2" applyNumberFormat="1" applyFont="1" applyFill="1" applyBorder="1" applyAlignment="1">
      <alignment horizontal="left" vertical="center"/>
    </xf>
    <xf numFmtId="0" fontId="8" fillId="8" borderId="0" xfId="0" applyFont="1" applyFill="1"/>
    <xf numFmtId="0" fontId="13" fillId="3" borderId="3" xfId="0" applyFont="1" applyFill="1" applyBorder="1"/>
    <xf numFmtId="0" fontId="13" fillId="3" borderId="17" xfId="0" applyFont="1" applyFill="1" applyBorder="1"/>
    <xf numFmtId="0" fontId="13" fillId="3" borderId="20" xfId="0" applyFont="1" applyFill="1" applyBorder="1"/>
    <xf numFmtId="0" fontId="13" fillId="8" borderId="0" xfId="0" applyFont="1" applyFill="1" applyBorder="1"/>
    <xf numFmtId="0" fontId="6" fillId="6" borderId="0" xfId="0" applyFont="1" applyFill="1" applyBorder="1" applyAlignment="1">
      <alignment horizontal="justify" vertical="center"/>
    </xf>
    <xf numFmtId="0" fontId="4" fillId="6" borderId="0" xfId="0" applyFont="1" applyFill="1" applyBorder="1" applyAlignment="1">
      <alignment horizontal="center" vertical="center" wrapText="1"/>
    </xf>
    <xf numFmtId="0" fontId="4" fillId="6" borderId="0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10" fillId="3" borderId="10" xfId="0" applyFont="1" applyFill="1" applyBorder="1" applyAlignment="1">
      <alignment horizontal="left" vertical="top"/>
    </xf>
    <xf numFmtId="0" fontId="10" fillId="3" borderId="11" xfId="0" applyFont="1" applyFill="1" applyBorder="1" applyAlignment="1">
      <alignment horizontal="left" vertical="top"/>
    </xf>
    <xf numFmtId="0" fontId="10" fillId="3" borderId="12" xfId="0" applyFont="1" applyFill="1" applyBorder="1" applyAlignment="1">
      <alignment horizontal="left" vertical="top"/>
    </xf>
    <xf numFmtId="0" fontId="10" fillId="3" borderId="13" xfId="0" applyFont="1" applyFill="1" applyBorder="1" applyAlignment="1">
      <alignment horizontal="left" vertical="top"/>
    </xf>
    <xf numFmtId="0" fontId="10" fillId="3" borderId="0" xfId="0" applyFont="1" applyFill="1" applyBorder="1" applyAlignment="1">
      <alignment horizontal="left" vertical="top"/>
    </xf>
    <xf numFmtId="0" fontId="10" fillId="3" borderId="14" xfId="0" applyFont="1" applyFill="1" applyBorder="1" applyAlignment="1">
      <alignment horizontal="left" vertical="top"/>
    </xf>
    <xf numFmtId="0" fontId="10" fillId="3" borderId="15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0" fillId="3" borderId="16" xfId="0" applyFont="1" applyFill="1" applyBorder="1" applyAlignment="1">
      <alignment horizontal="left" vertical="top"/>
    </xf>
    <xf numFmtId="0" fontId="10" fillId="3" borderId="10" xfId="0" applyFont="1" applyFill="1" applyBorder="1" applyAlignment="1">
      <alignment horizontal="left" vertical="top" wrapText="1"/>
    </xf>
    <xf numFmtId="0" fontId="10" fillId="3" borderId="11" xfId="0" applyFont="1" applyFill="1" applyBorder="1" applyAlignment="1">
      <alignment horizontal="left" vertical="top" wrapText="1"/>
    </xf>
    <xf numFmtId="0" fontId="10" fillId="3" borderId="12" xfId="0" applyFont="1" applyFill="1" applyBorder="1" applyAlignment="1">
      <alignment horizontal="left" vertical="top" wrapText="1"/>
    </xf>
    <xf numFmtId="0" fontId="10" fillId="3" borderId="13" xfId="0" applyFont="1" applyFill="1" applyBorder="1" applyAlignment="1">
      <alignment horizontal="left" vertical="top" wrapText="1"/>
    </xf>
    <xf numFmtId="0" fontId="10" fillId="3" borderId="0" xfId="0" applyFont="1" applyFill="1" applyBorder="1" applyAlignment="1">
      <alignment horizontal="left" vertical="top" wrapText="1"/>
    </xf>
    <xf numFmtId="0" fontId="10" fillId="3" borderId="14" xfId="0" applyFont="1" applyFill="1" applyBorder="1" applyAlignment="1">
      <alignment horizontal="left" vertical="top" wrapText="1"/>
    </xf>
    <xf numFmtId="0" fontId="10" fillId="3" borderId="15" xfId="0" applyFont="1" applyFill="1" applyBorder="1" applyAlignment="1">
      <alignment horizontal="left" vertical="top" wrapText="1"/>
    </xf>
    <xf numFmtId="0" fontId="10" fillId="3" borderId="9" xfId="0" applyFont="1" applyFill="1" applyBorder="1" applyAlignment="1">
      <alignment horizontal="left" vertical="top" wrapText="1"/>
    </xf>
    <xf numFmtId="0" fontId="10" fillId="3" borderId="16" xfId="0" applyFont="1" applyFill="1" applyBorder="1" applyAlignment="1">
      <alignment horizontal="left" vertical="top" wrapText="1"/>
    </xf>
    <xf numFmtId="0" fontId="0" fillId="5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left" vertical="center" wrapText="1"/>
    </xf>
    <xf numFmtId="0" fontId="14" fillId="3" borderId="0" xfId="0" applyFont="1" applyFill="1" applyBorder="1" applyAlignment="1">
      <alignment horizontal="left" vertical="center" wrapText="1"/>
    </xf>
    <xf numFmtId="0" fontId="14" fillId="3" borderId="7" xfId="0" applyFont="1" applyFill="1" applyBorder="1" applyAlignment="1">
      <alignment horizontal="left" vertical="center"/>
    </xf>
    <xf numFmtId="0" fontId="14" fillId="3" borderId="0" xfId="0" applyFont="1" applyFill="1" applyBorder="1" applyAlignment="1">
      <alignment horizontal="left" vertical="center"/>
    </xf>
  </cellXfs>
  <cellStyles count="3">
    <cellStyle name="Moeda" xfId="2" builtinId="4"/>
    <cellStyle name="Normal" xfId="0" builtinId="0"/>
    <cellStyle name="Porcentagem" xfId="1" builtinId="5"/>
  </cellStyles>
  <dxfs count="0"/>
  <tableStyles count="0" defaultTableStyle="TableStyleMedium9" defaultPivotStyle="PivotStyleLight16"/>
  <colors>
    <mruColors>
      <color rgb="FFCCFFCC"/>
      <color rgb="FFCCFFFF"/>
      <color rgb="FFFFFFCC"/>
      <color rgb="FFFFFF66"/>
      <color rgb="FFFFFF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pt-BR" sz="2000"/>
              <a:t>DIAGNÓSTICO DE MATURIDADE DOS EMPREENDIMENTOS  VINCULADOS AO PROIN/UEG</a:t>
            </a:r>
          </a:p>
          <a:p>
            <a:pPr>
              <a:defRPr sz="2000"/>
            </a:pPr>
            <a:r>
              <a:rPr lang="pt-BR" sz="2000"/>
              <a:t>P E R F I L    </a:t>
            </a:r>
            <a:r>
              <a:rPr lang="pt-BR" sz="2000" baseline="0"/>
              <a:t>E M P R E E N D E D O R</a:t>
            </a:r>
            <a:endParaRPr lang="pt-BR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4096487320871787"/>
          <c:y val="0.13565470215291903"/>
          <c:w val="0.47832098765432696"/>
          <c:h val="0.74699228791773753"/>
        </c:manualLayout>
      </c:layout>
      <c:radarChart>
        <c:radarStyle val="filled"/>
        <c:varyColors val="0"/>
        <c:ser>
          <c:idx val="4"/>
          <c:order val="0"/>
          <c:tx>
            <c:strRef>
              <c:f>Consolida_PE!$G$1</c:f>
              <c:strCache>
                <c:ptCount val="1"/>
                <c:pt idx="0">
                  <c:v>Otimizado</c:v>
                </c:pt>
              </c:strCache>
            </c:strRef>
          </c:tx>
          <c:cat>
            <c:strRef>
              <c:f>Consolida_PE!$B$3:$B$32</c:f>
              <c:strCache>
                <c:ptCount val="30"/>
                <c:pt idx="0">
                  <c:v>1. Quando desconheço algo, não me importo em buscar informações necessárias para o entendimento do negócio.</c:v>
                </c:pt>
                <c:pt idx="1">
                  <c:v>2. As pessoas concordam comigo baseadas em meus argumentos ou estratégias que adoto.</c:v>
                </c:pt>
                <c:pt idx="2">
                  <c:v>3. Escolho situações em que posso controlar ao máximo os resultados finais, considerando as possibilidades de êxito ou fracasso antes de agir.</c:v>
                </c:pt>
                <c:pt idx="3">
                  <c:v>4. Diante as necessidades do mercado, implanto inovações em meus produtos/serviços ofertados pelo empreendimento na minha responsabilidade, ou amplio área geográfica de atuação do empreendimento.</c:v>
                </c:pt>
                <c:pt idx="4">
                  <c:v>5. Reconheço minha responsabilidade nas falhas e eventuais prejuízos financeiros do empreendimento.</c:v>
                </c:pt>
                <c:pt idx="5">
                  <c:v>6. Acredito que posso ser bem sucedido em qualquer atividade que me proponho executar, mesmo sendo algo difícil ou desafiador.</c:v>
                </c:pt>
                <c:pt idx="6">
                  <c:v>7. Meu rendimento no trabalho é bastante eficaz, pois faço as coisas de acordo com o que foi estabelecido, dando ênfase à otimização do tempo.</c:v>
                </c:pt>
                <c:pt idx="7">
                  <c:v>8. Para mim, é mais importante a minha opinião do que a opinião de outras pessoas sobre o que faço e a maneira como eu faço.</c:v>
                </c:pt>
                <c:pt idx="8">
                  <c:v>9. Executo minhas atividades bem como as atividades dos funcionários no dia a dia do empreendimento.</c:v>
                </c:pt>
                <c:pt idx="9">
                  <c:v>10. Adoto, como parâmetro nas negociações, o ditado “quem não arrisca, não petisca”.</c:v>
                </c:pt>
                <c:pt idx="10">
                  <c:v>11. Busco toda e qualquer informação disponível no mercado para utilizar no empreendimento.</c:v>
                </c:pt>
                <c:pt idx="11">
                  <c:v>12. Sei, de forma clara, o que quero alcançar no horizonte de médio e longo prazos e estabeleço parâmetros que permitam medir e avaliar o meu desempenho.</c:v>
                </c:pt>
                <c:pt idx="12">
                  <c:v>13. Faço as coisas preocupando-me com meus clientes, pois eles sempre têm razão e estão acima de qualquer coisa.</c:v>
                </c:pt>
                <c:pt idx="13">
                  <c:v>14. Defino, a cada dia, o percentual de lucro que quero obter com o empreendimento.</c:v>
                </c:pt>
                <c:pt idx="14">
                  <c:v>15. Quando tenho um projeto de grande porte, divido-o em tarefas mais simples, com prazos estabelecidos antecipadamente.</c:v>
                </c:pt>
                <c:pt idx="15">
                  <c:v>16. Mesmo que eu já esteja obtendo bons resultados no empreendimento, encontro formas de melhorar o que faço (agilidade, custos, qualidade).</c:v>
                </c:pt>
                <c:pt idx="16">
                  <c:v>17. Confio em minha capacidade de tomar decisões e solucionar problemas desafiantes que encontro na rotina do empreendimento.</c:v>
                </c:pt>
                <c:pt idx="17">
                  <c:v>18. Na execução das atividades, minha intuição e criatividade são suficientes para decidir como fazer. Organização e controle são aspectos secundários.</c:v>
                </c:pt>
                <c:pt idx="18">
                  <c:v>19. Identifico pessoas influentes e solicito apoio delas para alcançar minhas metas, pois somente assim consigo obter resultados positivos.</c:v>
                </c:pt>
                <c:pt idx="19">
                  <c:v>20. Insisto várias vezes para conseguir o que pretendo.</c:v>
                </c:pt>
                <c:pt idx="20">
                  <c:v>21. Aproveito, sem restrições, todas as oportunidades que surgem no mercado, pois elas trazem retorno financeiro.</c:v>
                </c:pt>
                <c:pt idx="21">
                  <c:v>22. Com objetivos comerciais, envio mensagens / brindes aos clientes em datas especiais.</c:v>
                </c:pt>
                <c:pt idx="22">
                  <c:v>23. Faço controles financeiros por meio de registros e utilizo esses dados para subsidiar as minhas decisões.</c:v>
                </c:pt>
                <c:pt idx="23">
                  <c:v>24. Quando encontro dificuldades na execução de uma atividade, permito-me aguardar um tempo até que elas se resolvam.</c:v>
                </c:pt>
                <c:pt idx="24">
                  <c:v>25. Quando necessário, trabalho muito e com afinco, para completar uma tarefa ou alcançar um objetivo.</c:v>
                </c:pt>
                <c:pt idx="25">
                  <c:v>26. Faço coisas que, na opinião dos outros, são arriscadas.</c:v>
                </c:pt>
                <c:pt idx="26">
                  <c:v>27. Minhas ações diárias são fortemente influenciadas por meus objetivos de vida no médio e longo prazos.</c:v>
                </c:pt>
                <c:pt idx="27">
                  <c:v>28. Visito feiras e participo de eventos e cursos correlatos ao meu empreendimento para conhecer novos produtos, serviços e fornecedores. </c:v>
                </c:pt>
                <c:pt idx="28">
                  <c:v>29. Encontro oportunidades de novos negócios quando identifico necessidades ou diagnostico problemas reais.</c:v>
                </c:pt>
                <c:pt idx="29">
                  <c:v>30. Realizaria vendas para clientes, ainda que não tenha lucro imediato, tendo em vista, futuras possibilidades de outros negócios com eles.</c:v>
                </c:pt>
              </c:strCache>
            </c:strRef>
          </c:cat>
          <c:val>
            <c:numRef>
              <c:f>Consolida_PE!$G$3:$G$32</c:f>
              <c:numCache>
                <c:formatCode>0%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BE0-4200-8F0B-F59016A2CADB}"/>
            </c:ext>
          </c:extLst>
        </c:ser>
        <c:ser>
          <c:idx val="0"/>
          <c:order val="1"/>
          <c:tx>
            <c:strRef>
              <c:f>Consolida_PE!$F$1</c:f>
              <c:strCache>
                <c:ptCount val="1"/>
                <c:pt idx="0">
                  <c:v>Levemente Otimizado</c:v>
                </c:pt>
              </c:strCache>
            </c:strRef>
          </c:tx>
          <c:cat>
            <c:strRef>
              <c:f>Consolida_PE!$B$3:$B$32</c:f>
              <c:strCache>
                <c:ptCount val="30"/>
                <c:pt idx="0">
                  <c:v>1. Quando desconheço algo, não me importo em buscar informações necessárias para o entendimento do negócio.</c:v>
                </c:pt>
                <c:pt idx="1">
                  <c:v>2. As pessoas concordam comigo baseadas em meus argumentos ou estratégias que adoto.</c:v>
                </c:pt>
                <c:pt idx="2">
                  <c:v>3. Escolho situações em que posso controlar ao máximo os resultados finais, considerando as possibilidades de êxito ou fracasso antes de agir.</c:v>
                </c:pt>
                <c:pt idx="3">
                  <c:v>4. Diante as necessidades do mercado, implanto inovações em meus produtos/serviços ofertados pelo empreendimento na minha responsabilidade, ou amplio área geográfica de atuação do empreendimento.</c:v>
                </c:pt>
                <c:pt idx="4">
                  <c:v>5. Reconheço minha responsabilidade nas falhas e eventuais prejuízos financeiros do empreendimento.</c:v>
                </c:pt>
                <c:pt idx="5">
                  <c:v>6. Acredito que posso ser bem sucedido em qualquer atividade que me proponho executar, mesmo sendo algo difícil ou desafiador.</c:v>
                </c:pt>
                <c:pt idx="6">
                  <c:v>7. Meu rendimento no trabalho é bastante eficaz, pois faço as coisas de acordo com o que foi estabelecido, dando ênfase à otimização do tempo.</c:v>
                </c:pt>
                <c:pt idx="7">
                  <c:v>8. Para mim, é mais importante a minha opinião do que a opinião de outras pessoas sobre o que faço e a maneira como eu faço.</c:v>
                </c:pt>
                <c:pt idx="8">
                  <c:v>9. Executo minhas atividades bem como as atividades dos funcionários no dia a dia do empreendimento.</c:v>
                </c:pt>
                <c:pt idx="9">
                  <c:v>10. Adoto, como parâmetro nas negociações, o ditado “quem não arrisca, não petisca”.</c:v>
                </c:pt>
                <c:pt idx="10">
                  <c:v>11. Busco toda e qualquer informação disponível no mercado para utilizar no empreendimento.</c:v>
                </c:pt>
                <c:pt idx="11">
                  <c:v>12. Sei, de forma clara, o que quero alcançar no horizonte de médio e longo prazos e estabeleço parâmetros que permitam medir e avaliar o meu desempenho.</c:v>
                </c:pt>
                <c:pt idx="12">
                  <c:v>13. Faço as coisas preocupando-me com meus clientes, pois eles sempre têm razão e estão acima de qualquer coisa.</c:v>
                </c:pt>
                <c:pt idx="13">
                  <c:v>14. Defino, a cada dia, o percentual de lucro que quero obter com o empreendimento.</c:v>
                </c:pt>
                <c:pt idx="14">
                  <c:v>15. Quando tenho um projeto de grande porte, divido-o em tarefas mais simples, com prazos estabelecidos antecipadamente.</c:v>
                </c:pt>
                <c:pt idx="15">
                  <c:v>16. Mesmo que eu já esteja obtendo bons resultados no empreendimento, encontro formas de melhorar o que faço (agilidade, custos, qualidade).</c:v>
                </c:pt>
                <c:pt idx="16">
                  <c:v>17. Confio em minha capacidade de tomar decisões e solucionar problemas desafiantes que encontro na rotina do empreendimento.</c:v>
                </c:pt>
                <c:pt idx="17">
                  <c:v>18. Na execução das atividades, minha intuição e criatividade são suficientes para decidir como fazer. Organização e controle são aspectos secundários.</c:v>
                </c:pt>
                <c:pt idx="18">
                  <c:v>19. Identifico pessoas influentes e solicito apoio delas para alcançar minhas metas, pois somente assim consigo obter resultados positivos.</c:v>
                </c:pt>
                <c:pt idx="19">
                  <c:v>20. Insisto várias vezes para conseguir o que pretendo.</c:v>
                </c:pt>
                <c:pt idx="20">
                  <c:v>21. Aproveito, sem restrições, todas as oportunidades que surgem no mercado, pois elas trazem retorno financeiro.</c:v>
                </c:pt>
                <c:pt idx="21">
                  <c:v>22. Com objetivos comerciais, envio mensagens / brindes aos clientes em datas especiais.</c:v>
                </c:pt>
                <c:pt idx="22">
                  <c:v>23. Faço controles financeiros por meio de registros e utilizo esses dados para subsidiar as minhas decisões.</c:v>
                </c:pt>
                <c:pt idx="23">
                  <c:v>24. Quando encontro dificuldades na execução de uma atividade, permito-me aguardar um tempo até que elas se resolvam.</c:v>
                </c:pt>
                <c:pt idx="24">
                  <c:v>25. Quando necessário, trabalho muito e com afinco, para completar uma tarefa ou alcançar um objetivo.</c:v>
                </c:pt>
                <c:pt idx="25">
                  <c:v>26. Faço coisas que, na opinião dos outros, são arriscadas.</c:v>
                </c:pt>
                <c:pt idx="26">
                  <c:v>27. Minhas ações diárias são fortemente influenciadas por meus objetivos de vida no médio e longo prazos.</c:v>
                </c:pt>
                <c:pt idx="27">
                  <c:v>28. Visito feiras e participo de eventos e cursos correlatos ao meu empreendimento para conhecer novos produtos, serviços e fornecedores. </c:v>
                </c:pt>
                <c:pt idx="28">
                  <c:v>29. Encontro oportunidades de novos negócios quando identifico necessidades ou diagnostico problemas reais.</c:v>
                </c:pt>
                <c:pt idx="29">
                  <c:v>30. Realizaria vendas para clientes, ainda que não tenha lucro imediato, tendo em vista, futuras possibilidades de outros negócios com eles.</c:v>
                </c:pt>
              </c:strCache>
            </c:strRef>
          </c:cat>
          <c:val>
            <c:numRef>
              <c:f>Consolida_PE!$F$3:$F$32</c:f>
              <c:numCache>
                <c:formatCode>0%</c:formatCode>
                <c:ptCount val="30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0.8</c:v>
                </c:pt>
                <c:pt idx="28">
                  <c:v>0.8</c:v>
                </c:pt>
                <c:pt idx="29">
                  <c:v>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BE0-4200-8F0B-F59016A2CADB}"/>
            </c:ext>
          </c:extLst>
        </c:ser>
        <c:ser>
          <c:idx val="1"/>
          <c:order val="2"/>
          <c:tx>
            <c:strRef>
              <c:f>Consolida_PE!$E$1</c:f>
              <c:strCache>
                <c:ptCount val="1"/>
                <c:pt idx="0">
                  <c:v>Moderado</c:v>
                </c:pt>
              </c:strCache>
            </c:strRef>
          </c:tx>
          <c:cat>
            <c:strRef>
              <c:f>Consolida_PE!$B$3:$B$32</c:f>
              <c:strCache>
                <c:ptCount val="30"/>
                <c:pt idx="0">
                  <c:v>1. Quando desconheço algo, não me importo em buscar informações necessárias para o entendimento do negócio.</c:v>
                </c:pt>
                <c:pt idx="1">
                  <c:v>2. As pessoas concordam comigo baseadas em meus argumentos ou estratégias que adoto.</c:v>
                </c:pt>
                <c:pt idx="2">
                  <c:v>3. Escolho situações em que posso controlar ao máximo os resultados finais, considerando as possibilidades de êxito ou fracasso antes de agir.</c:v>
                </c:pt>
                <c:pt idx="3">
                  <c:v>4. Diante as necessidades do mercado, implanto inovações em meus produtos/serviços ofertados pelo empreendimento na minha responsabilidade, ou amplio área geográfica de atuação do empreendimento.</c:v>
                </c:pt>
                <c:pt idx="4">
                  <c:v>5. Reconheço minha responsabilidade nas falhas e eventuais prejuízos financeiros do empreendimento.</c:v>
                </c:pt>
                <c:pt idx="5">
                  <c:v>6. Acredito que posso ser bem sucedido em qualquer atividade que me proponho executar, mesmo sendo algo difícil ou desafiador.</c:v>
                </c:pt>
                <c:pt idx="6">
                  <c:v>7. Meu rendimento no trabalho é bastante eficaz, pois faço as coisas de acordo com o que foi estabelecido, dando ênfase à otimização do tempo.</c:v>
                </c:pt>
                <c:pt idx="7">
                  <c:v>8. Para mim, é mais importante a minha opinião do que a opinião de outras pessoas sobre o que faço e a maneira como eu faço.</c:v>
                </c:pt>
                <c:pt idx="8">
                  <c:v>9. Executo minhas atividades bem como as atividades dos funcionários no dia a dia do empreendimento.</c:v>
                </c:pt>
                <c:pt idx="9">
                  <c:v>10. Adoto, como parâmetro nas negociações, o ditado “quem não arrisca, não petisca”.</c:v>
                </c:pt>
                <c:pt idx="10">
                  <c:v>11. Busco toda e qualquer informação disponível no mercado para utilizar no empreendimento.</c:v>
                </c:pt>
                <c:pt idx="11">
                  <c:v>12. Sei, de forma clara, o que quero alcançar no horizonte de médio e longo prazos e estabeleço parâmetros que permitam medir e avaliar o meu desempenho.</c:v>
                </c:pt>
                <c:pt idx="12">
                  <c:v>13. Faço as coisas preocupando-me com meus clientes, pois eles sempre têm razão e estão acima de qualquer coisa.</c:v>
                </c:pt>
                <c:pt idx="13">
                  <c:v>14. Defino, a cada dia, o percentual de lucro que quero obter com o empreendimento.</c:v>
                </c:pt>
                <c:pt idx="14">
                  <c:v>15. Quando tenho um projeto de grande porte, divido-o em tarefas mais simples, com prazos estabelecidos antecipadamente.</c:v>
                </c:pt>
                <c:pt idx="15">
                  <c:v>16. Mesmo que eu já esteja obtendo bons resultados no empreendimento, encontro formas de melhorar o que faço (agilidade, custos, qualidade).</c:v>
                </c:pt>
                <c:pt idx="16">
                  <c:v>17. Confio em minha capacidade de tomar decisões e solucionar problemas desafiantes que encontro na rotina do empreendimento.</c:v>
                </c:pt>
                <c:pt idx="17">
                  <c:v>18. Na execução das atividades, minha intuição e criatividade são suficientes para decidir como fazer. Organização e controle são aspectos secundários.</c:v>
                </c:pt>
                <c:pt idx="18">
                  <c:v>19. Identifico pessoas influentes e solicito apoio delas para alcançar minhas metas, pois somente assim consigo obter resultados positivos.</c:v>
                </c:pt>
                <c:pt idx="19">
                  <c:v>20. Insisto várias vezes para conseguir o que pretendo.</c:v>
                </c:pt>
                <c:pt idx="20">
                  <c:v>21. Aproveito, sem restrições, todas as oportunidades que surgem no mercado, pois elas trazem retorno financeiro.</c:v>
                </c:pt>
                <c:pt idx="21">
                  <c:v>22. Com objetivos comerciais, envio mensagens / brindes aos clientes em datas especiais.</c:v>
                </c:pt>
                <c:pt idx="22">
                  <c:v>23. Faço controles financeiros por meio de registros e utilizo esses dados para subsidiar as minhas decisões.</c:v>
                </c:pt>
                <c:pt idx="23">
                  <c:v>24. Quando encontro dificuldades na execução de uma atividade, permito-me aguardar um tempo até que elas se resolvam.</c:v>
                </c:pt>
                <c:pt idx="24">
                  <c:v>25. Quando necessário, trabalho muito e com afinco, para completar uma tarefa ou alcançar um objetivo.</c:v>
                </c:pt>
                <c:pt idx="25">
                  <c:v>26. Faço coisas que, na opinião dos outros, são arriscadas.</c:v>
                </c:pt>
                <c:pt idx="26">
                  <c:v>27. Minhas ações diárias são fortemente influenciadas por meus objetivos de vida no médio e longo prazos.</c:v>
                </c:pt>
                <c:pt idx="27">
                  <c:v>28. Visito feiras e participo de eventos e cursos correlatos ao meu empreendimento para conhecer novos produtos, serviços e fornecedores. </c:v>
                </c:pt>
                <c:pt idx="28">
                  <c:v>29. Encontro oportunidades de novos negócios quando identifico necessidades ou diagnostico problemas reais.</c:v>
                </c:pt>
                <c:pt idx="29">
                  <c:v>30. Realizaria vendas para clientes, ainda que não tenha lucro imediato, tendo em vista, futuras possibilidades de outros negócios com eles.</c:v>
                </c:pt>
              </c:strCache>
            </c:strRef>
          </c:cat>
          <c:val>
            <c:numRef>
              <c:f>Consolida_PE!$E$3:$E$32</c:f>
              <c:numCache>
                <c:formatCode>0%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BE0-4200-8F0B-F59016A2CADB}"/>
            </c:ext>
          </c:extLst>
        </c:ser>
        <c:ser>
          <c:idx val="2"/>
          <c:order val="3"/>
          <c:tx>
            <c:strRef>
              <c:f>Consolida_PE!$D$1</c:f>
              <c:strCache>
                <c:ptCount val="1"/>
                <c:pt idx="0">
                  <c:v>Levemente Inicial</c:v>
                </c:pt>
              </c:strCache>
            </c:strRef>
          </c:tx>
          <c:cat>
            <c:strRef>
              <c:f>Consolida_PE!$B$3:$B$32</c:f>
              <c:strCache>
                <c:ptCount val="30"/>
                <c:pt idx="0">
                  <c:v>1. Quando desconheço algo, não me importo em buscar informações necessárias para o entendimento do negócio.</c:v>
                </c:pt>
                <c:pt idx="1">
                  <c:v>2. As pessoas concordam comigo baseadas em meus argumentos ou estratégias que adoto.</c:v>
                </c:pt>
                <c:pt idx="2">
                  <c:v>3. Escolho situações em que posso controlar ao máximo os resultados finais, considerando as possibilidades de êxito ou fracasso antes de agir.</c:v>
                </c:pt>
                <c:pt idx="3">
                  <c:v>4. Diante as necessidades do mercado, implanto inovações em meus produtos/serviços ofertados pelo empreendimento na minha responsabilidade, ou amplio área geográfica de atuação do empreendimento.</c:v>
                </c:pt>
                <c:pt idx="4">
                  <c:v>5. Reconheço minha responsabilidade nas falhas e eventuais prejuízos financeiros do empreendimento.</c:v>
                </c:pt>
                <c:pt idx="5">
                  <c:v>6. Acredito que posso ser bem sucedido em qualquer atividade que me proponho executar, mesmo sendo algo difícil ou desafiador.</c:v>
                </c:pt>
                <c:pt idx="6">
                  <c:v>7. Meu rendimento no trabalho é bastante eficaz, pois faço as coisas de acordo com o que foi estabelecido, dando ênfase à otimização do tempo.</c:v>
                </c:pt>
                <c:pt idx="7">
                  <c:v>8. Para mim, é mais importante a minha opinião do que a opinião de outras pessoas sobre o que faço e a maneira como eu faço.</c:v>
                </c:pt>
                <c:pt idx="8">
                  <c:v>9. Executo minhas atividades bem como as atividades dos funcionários no dia a dia do empreendimento.</c:v>
                </c:pt>
                <c:pt idx="9">
                  <c:v>10. Adoto, como parâmetro nas negociações, o ditado “quem não arrisca, não petisca”.</c:v>
                </c:pt>
                <c:pt idx="10">
                  <c:v>11. Busco toda e qualquer informação disponível no mercado para utilizar no empreendimento.</c:v>
                </c:pt>
                <c:pt idx="11">
                  <c:v>12. Sei, de forma clara, o que quero alcançar no horizonte de médio e longo prazos e estabeleço parâmetros que permitam medir e avaliar o meu desempenho.</c:v>
                </c:pt>
                <c:pt idx="12">
                  <c:v>13. Faço as coisas preocupando-me com meus clientes, pois eles sempre têm razão e estão acima de qualquer coisa.</c:v>
                </c:pt>
                <c:pt idx="13">
                  <c:v>14. Defino, a cada dia, o percentual de lucro que quero obter com o empreendimento.</c:v>
                </c:pt>
                <c:pt idx="14">
                  <c:v>15. Quando tenho um projeto de grande porte, divido-o em tarefas mais simples, com prazos estabelecidos antecipadamente.</c:v>
                </c:pt>
                <c:pt idx="15">
                  <c:v>16. Mesmo que eu já esteja obtendo bons resultados no empreendimento, encontro formas de melhorar o que faço (agilidade, custos, qualidade).</c:v>
                </c:pt>
                <c:pt idx="16">
                  <c:v>17. Confio em minha capacidade de tomar decisões e solucionar problemas desafiantes que encontro na rotina do empreendimento.</c:v>
                </c:pt>
                <c:pt idx="17">
                  <c:v>18. Na execução das atividades, minha intuição e criatividade são suficientes para decidir como fazer. Organização e controle são aspectos secundários.</c:v>
                </c:pt>
                <c:pt idx="18">
                  <c:v>19. Identifico pessoas influentes e solicito apoio delas para alcançar minhas metas, pois somente assim consigo obter resultados positivos.</c:v>
                </c:pt>
                <c:pt idx="19">
                  <c:v>20. Insisto várias vezes para conseguir o que pretendo.</c:v>
                </c:pt>
                <c:pt idx="20">
                  <c:v>21. Aproveito, sem restrições, todas as oportunidades que surgem no mercado, pois elas trazem retorno financeiro.</c:v>
                </c:pt>
                <c:pt idx="21">
                  <c:v>22. Com objetivos comerciais, envio mensagens / brindes aos clientes em datas especiais.</c:v>
                </c:pt>
                <c:pt idx="22">
                  <c:v>23. Faço controles financeiros por meio de registros e utilizo esses dados para subsidiar as minhas decisões.</c:v>
                </c:pt>
                <c:pt idx="23">
                  <c:v>24. Quando encontro dificuldades na execução de uma atividade, permito-me aguardar um tempo até que elas se resolvam.</c:v>
                </c:pt>
                <c:pt idx="24">
                  <c:v>25. Quando necessário, trabalho muito e com afinco, para completar uma tarefa ou alcançar um objetivo.</c:v>
                </c:pt>
                <c:pt idx="25">
                  <c:v>26. Faço coisas que, na opinião dos outros, são arriscadas.</c:v>
                </c:pt>
                <c:pt idx="26">
                  <c:v>27. Minhas ações diárias são fortemente influenciadas por meus objetivos de vida no médio e longo prazos.</c:v>
                </c:pt>
                <c:pt idx="27">
                  <c:v>28. Visito feiras e participo de eventos e cursos correlatos ao meu empreendimento para conhecer novos produtos, serviços e fornecedores. </c:v>
                </c:pt>
                <c:pt idx="28">
                  <c:v>29. Encontro oportunidades de novos negócios quando identifico necessidades ou diagnostico problemas reais.</c:v>
                </c:pt>
                <c:pt idx="29">
                  <c:v>30. Realizaria vendas para clientes, ainda que não tenha lucro imediato, tendo em vista, futuras possibilidades de outros negócios com eles.</c:v>
                </c:pt>
              </c:strCache>
            </c:strRef>
          </c:cat>
          <c:val>
            <c:numRef>
              <c:f>Consolida_PE!$D$3:$D$32</c:f>
              <c:numCache>
                <c:formatCode>0%</c:formatCode>
                <c:ptCount val="30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BE0-4200-8F0B-F59016A2CADB}"/>
            </c:ext>
          </c:extLst>
        </c:ser>
        <c:ser>
          <c:idx val="3"/>
          <c:order val="4"/>
          <c:tx>
            <c:strRef>
              <c:f>Consolida_PE!$C$1</c:f>
              <c:strCache>
                <c:ptCount val="1"/>
                <c:pt idx="0">
                  <c:v>Inicial</c:v>
                </c:pt>
              </c:strCache>
            </c:strRef>
          </c:tx>
          <c:cat>
            <c:strRef>
              <c:f>Consolida_PE!$B$3:$B$32</c:f>
              <c:strCache>
                <c:ptCount val="30"/>
                <c:pt idx="0">
                  <c:v>1. Quando desconheço algo, não me importo em buscar informações necessárias para o entendimento do negócio.</c:v>
                </c:pt>
                <c:pt idx="1">
                  <c:v>2. As pessoas concordam comigo baseadas em meus argumentos ou estratégias que adoto.</c:v>
                </c:pt>
                <c:pt idx="2">
                  <c:v>3. Escolho situações em que posso controlar ao máximo os resultados finais, considerando as possibilidades de êxito ou fracasso antes de agir.</c:v>
                </c:pt>
                <c:pt idx="3">
                  <c:v>4. Diante as necessidades do mercado, implanto inovações em meus produtos/serviços ofertados pelo empreendimento na minha responsabilidade, ou amplio área geográfica de atuação do empreendimento.</c:v>
                </c:pt>
                <c:pt idx="4">
                  <c:v>5. Reconheço minha responsabilidade nas falhas e eventuais prejuízos financeiros do empreendimento.</c:v>
                </c:pt>
                <c:pt idx="5">
                  <c:v>6. Acredito que posso ser bem sucedido em qualquer atividade que me proponho executar, mesmo sendo algo difícil ou desafiador.</c:v>
                </c:pt>
                <c:pt idx="6">
                  <c:v>7. Meu rendimento no trabalho é bastante eficaz, pois faço as coisas de acordo com o que foi estabelecido, dando ênfase à otimização do tempo.</c:v>
                </c:pt>
                <c:pt idx="7">
                  <c:v>8. Para mim, é mais importante a minha opinião do que a opinião de outras pessoas sobre o que faço e a maneira como eu faço.</c:v>
                </c:pt>
                <c:pt idx="8">
                  <c:v>9. Executo minhas atividades bem como as atividades dos funcionários no dia a dia do empreendimento.</c:v>
                </c:pt>
                <c:pt idx="9">
                  <c:v>10. Adoto, como parâmetro nas negociações, o ditado “quem não arrisca, não petisca”.</c:v>
                </c:pt>
                <c:pt idx="10">
                  <c:v>11. Busco toda e qualquer informação disponível no mercado para utilizar no empreendimento.</c:v>
                </c:pt>
                <c:pt idx="11">
                  <c:v>12. Sei, de forma clara, o que quero alcançar no horizonte de médio e longo prazos e estabeleço parâmetros que permitam medir e avaliar o meu desempenho.</c:v>
                </c:pt>
                <c:pt idx="12">
                  <c:v>13. Faço as coisas preocupando-me com meus clientes, pois eles sempre têm razão e estão acima de qualquer coisa.</c:v>
                </c:pt>
                <c:pt idx="13">
                  <c:v>14. Defino, a cada dia, o percentual de lucro que quero obter com o empreendimento.</c:v>
                </c:pt>
                <c:pt idx="14">
                  <c:v>15. Quando tenho um projeto de grande porte, divido-o em tarefas mais simples, com prazos estabelecidos antecipadamente.</c:v>
                </c:pt>
                <c:pt idx="15">
                  <c:v>16. Mesmo que eu já esteja obtendo bons resultados no empreendimento, encontro formas de melhorar o que faço (agilidade, custos, qualidade).</c:v>
                </c:pt>
                <c:pt idx="16">
                  <c:v>17. Confio em minha capacidade de tomar decisões e solucionar problemas desafiantes que encontro na rotina do empreendimento.</c:v>
                </c:pt>
                <c:pt idx="17">
                  <c:v>18. Na execução das atividades, minha intuição e criatividade são suficientes para decidir como fazer. Organização e controle são aspectos secundários.</c:v>
                </c:pt>
                <c:pt idx="18">
                  <c:v>19. Identifico pessoas influentes e solicito apoio delas para alcançar minhas metas, pois somente assim consigo obter resultados positivos.</c:v>
                </c:pt>
                <c:pt idx="19">
                  <c:v>20. Insisto várias vezes para conseguir o que pretendo.</c:v>
                </c:pt>
                <c:pt idx="20">
                  <c:v>21. Aproveito, sem restrições, todas as oportunidades que surgem no mercado, pois elas trazem retorno financeiro.</c:v>
                </c:pt>
                <c:pt idx="21">
                  <c:v>22. Com objetivos comerciais, envio mensagens / brindes aos clientes em datas especiais.</c:v>
                </c:pt>
                <c:pt idx="22">
                  <c:v>23. Faço controles financeiros por meio de registros e utilizo esses dados para subsidiar as minhas decisões.</c:v>
                </c:pt>
                <c:pt idx="23">
                  <c:v>24. Quando encontro dificuldades na execução de uma atividade, permito-me aguardar um tempo até que elas se resolvam.</c:v>
                </c:pt>
                <c:pt idx="24">
                  <c:v>25. Quando necessário, trabalho muito e com afinco, para completar uma tarefa ou alcançar um objetivo.</c:v>
                </c:pt>
                <c:pt idx="25">
                  <c:v>26. Faço coisas que, na opinião dos outros, são arriscadas.</c:v>
                </c:pt>
                <c:pt idx="26">
                  <c:v>27. Minhas ações diárias são fortemente influenciadas por meus objetivos de vida no médio e longo prazos.</c:v>
                </c:pt>
                <c:pt idx="27">
                  <c:v>28. Visito feiras e participo de eventos e cursos correlatos ao meu empreendimento para conhecer novos produtos, serviços e fornecedores. </c:v>
                </c:pt>
                <c:pt idx="28">
                  <c:v>29. Encontro oportunidades de novos negócios quando identifico necessidades ou diagnostico problemas reais.</c:v>
                </c:pt>
                <c:pt idx="29">
                  <c:v>30. Realizaria vendas para clientes, ainda que não tenha lucro imediato, tendo em vista, futuras possibilidades de outros negócios com eles.</c:v>
                </c:pt>
              </c:strCache>
            </c:strRef>
          </c:cat>
          <c:val>
            <c:numRef>
              <c:f>Consolida_PE!$C$3:$C$32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BE0-4200-8F0B-F59016A2CADB}"/>
            </c:ext>
          </c:extLst>
        </c:ser>
        <c:ser>
          <c:idx val="5"/>
          <c:order val="5"/>
          <c:tx>
            <c:strRef>
              <c:f>Consolida_PE!$P$1</c:f>
              <c:strCache>
                <c:ptCount val="1"/>
                <c:pt idx="0">
                  <c:v>Respostas Empreendedores</c:v>
                </c:pt>
              </c:strCache>
            </c:strRef>
          </c:tx>
          <c:spPr>
            <a:solidFill>
              <a:srgbClr val="FF0000">
                <a:alpha val="30000"/>
              </a:srgbClr>
            </a:solidFill>
            <a:ln w="12700">
              <a:solidFill>
                <a:srgbClr val="FF0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Consolida_PE!$B$3:$B$32</c:f>
              <c:strCache>
                <c:ptCount val="30"/>
                <c:pt idx="0">
                  <c:v>1. Quando desconheço algo, não me importo em buscar informações necessárias para o entendimento do negócio.</c:v>
                </c:pt>
                <c:pt idx="1">
                  <c:v>2. As pessoas concordam comigo baseadas em meus argumentos ou estratégias que adoto.</c:v>
                </c:pt>
                <c:pt idx="2">
                  <c:v>3. Escolho situações em que posso controlar ao máximo os resultados finais, considerando as possibilidades de êxito ou fracasso antes de agir.</c:v>
                </c:pt>
                <c:pt idx="3">
                  <c:v>4. Diante as necessidades do mercado, implanto inovações em meus produtos/serviços ofertados pelo empreendimento na minha responsabilidade, ou amplio área geográfica de atuação do empreendimento.</c:v>
                </c:pt>
                <c:pt idx="4">
                  <c:v>5. Reconheço minha responsabilidade nas falhas e eventuais prejuízos financeiros do empreendimento.</c:v>
                </c:pt>
                <c:pt idx="5">
                  <c:v>6. Acredito que posso ser bem sucedido em qualquer atividade que me proponho executar, mesmo sendo algo difícil ou desafiador.</c:v>
                </c:pt>
                <c:pt idx="6">
                  <c:v>7. Meu rendimento no trabalho é bastante eficaz, pois faço as coisas de acordo com o que foi estabelecido, dando ênfase à otimização do tempo.</c:v>
                </c:pt>
                <c:pt idx="7">
                  <c:v>8. Para mim, é mais importante a minha opinião do que a opinião de outras pessoas sobre o que faço e a maneira como eu faço.</c:v>
                </c:pt>
                <c:pt idx="8">
                  <c:v>9. Executo minhas atividades bem como as atividades dos funcionários no dia a dia do empreendimento.</c:v>
                </c:pt>
                <c:pt idx="9">
                  <c:v>10. Adoto, como parâmetro nas negociações, o ditado “quem não arrisca, não petisca”.</c:v>
                </c:pt>
                <c:pt idx="10">
                  <c:v>11. Busco toda e qualquer informação disponível no mercado para utilizar no empreendimento.</c:v>
                </c:pt>
                <c:pt idx="11">
                  <c:v>12. Sei, de forma clara, o que quero alcançar no horizonte de médio e longo prazos e estabeleço parâmetros que permitam medir e avaliar o meu desempenho.</c:v>
                </c:pt>
                <c:pt idx="12">
                  <c:v>13. Faço as coisas preocupando-me com meus clientes, pois eles sempre têm razão e estão acima de qualquer coisa.</c:v>
                </c:pt>
                <c:pt idx="13">
                  <c:v>14. Defino, a cada dia, o percentual de lucro que quero obter com o empreendimento.</c:v>
                </c:pt>
                <c:pt idx="14">
                  <c:v>15. Quando tenho um projeto de grande porte, divido-o em tarefas mais simples, com prazos estabelecidos antecipadamente.</c:v>
                </c:pt>
                <c:pt idx="15">
                  <c:v>16. Mesmo que eu já esteja obtendo bons resultados no empreendimento, encontro formas de melhorar o que faço (agilidade, custos, qualidade).</c:v>
                </c:pt>
                <c:pt idx="16">
                  <c:v>17. Confio em minha capacidade de tomar decisões e solucionar problemas desafiantes que encontro na rotina do empreendimento.</c:v>
                </c:pt>
                <c:pt idx="17">
                  <c:v>18. Na execução das atividades, minha intuição e criatividade são suficientes para decidir como fazer. Organização e controle são aspectos secundários.</c:v>
                </c:pt>
                <c:pt idx="18">
                  <c:v>19. Identifico pessoas influentes e solicito apoio delas para alcançar minhas metas, pois somente assim consigo obter resultados positivos.</c:v>
                </c:pt>
                <c:pt idx="19">
                  <c:v>20. Insisto várias vezes para conseguir o que pretendo.</c:v>
                </c:pt>
                <c:pt idx="20">
                  <c:v>21. Aproveito, sem restrições, todas as oportunidades que surgem no mercado, pois elas trazem retorno financeiro.</c:v>
                </c:pt>
                <c:pt idx="21">
                  <c:v>22. Com objetivos comerciais, envio mensagens / brindes aos clientes em datas especiais.</c:v>
                </c:pt>
                <c:pt idx="22">
                  <c:v>23. Faço controles financeiros por meio de registros e utilizo esses dados para subsidiar as minhas decisões.</c:v>
                </c:pt>
                <c:pt idx="23">
                  <c:v>24. Quando encontro dificuldades na execução de uma atividade, permito-me aguardar um tempo até que elas se resolvam.</c:v>
                </c:pt>
                <c:pt idx="24">
                  <c:v>25. Quando necessário, trabalho muito e com afinco, para completar uma tarefa ou alcançar um objetivo.</c:v>
                </c:pt>
                <c:pt idx="25">
                  <c:v>26. Faço coisas que, na opinião dos outros, são arriscadas.</c:v>
                </c:pt>
                <c:pt idx="26">
                  <c:v>27. Minhas ações diárias são fortemente influenciadas por meus objetivos de vida no médio e longo prazos.</c:v>
                </c:pt>
                <c:pt idx="27">
                  <c:v>28. Visito feiras e participo de eventos e cursos correlatos ao meu empreendimento para conhecer novos produtos, serviços e fornecedores. </c:v>
                </c:pt>
                <c:pt idx="28">
                  <c:v>29. Encontro oportunidades de novos negócios quando identifico necessidades ou diagnostico problemas reais.</c:v>
                </c:pt>
                <c:pt idx="29">
                  <c:v>30. Realizaria vendas para clientes, ainda que não tenha lucro imediato, tendo em vista, futuras possibilidades de outros negócios com eles.</c:v>
                </c:pt>
              </c:strCache>
            </c:strRef>
          </c:cat>
          <c:val>
            <c:numRef>
              <c:f>Consolida_PE!$P$3:$P$32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EBE0-4200-8F0B-F59016A2C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857600"/>
        <c:axId val="110863488"/>
      </c:radarChart>
      <c:catAx>
        <c:axId val="110857600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110863488"/>
        <c:crosses val="autoZero"/>
        <c:auto val="1"/>
        <c:lblAlgn val="ctr"/>
        <c:lblOffset val="100"/>
        <c:noMultiLvlLbl val="0"/>
      </c:catAx>
      <c:valAx>
        <c:axId val="110863488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110857600"/>
        <c:crosses val="autoZero"/>
        <c:crossBetween val="between"/>
        <c:maj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2455206945285686"/>
          <c:y val="0.95393522568938305"/>
          <c:w val="0.56160872198667477"/>
          <c:h val="3.7207640711577859E-2"/>
        </c:manualLayout>
      </c:layout>
      <c:overlay val="0"/>
      <c:txPr>
        <a:bodyPr/>
        <a:lstStyle/>
        <a:p>
          <a:pPr>
            <a:defRPr sz="1400" b="1"/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352" footer="0.3149606200000035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709007298961737"/>
          <c:y val="9.0387220116004016E-2"/>
          <c:w val="0.36976534720315479"/>
          <c:h val="0.84844721030948711"/>
        </c:manualLayout>
      </c:layout>
      <c:radarChart>
        <c:radarStyle val="filled"/>
        <c:varyColors val="0"/>
        <c:ser>
          <c:idx val="3"/>
          <c:order val="0"/>
          <c:tx>
            <c:strRef>
              <c:f>Consolida_Dimensões_Sintético!$E$1</c:f>
              <c:strCache>
                <c:ptCount val="1"/>
                <c:pt idx="0">
                  <c:v>Otimizado</c:v>
                </c:pt>
              </c:strCache>
            </c:strRef>
          </c:tx>
          <c:spPr>
            <a:ln w="25400">
              <a:noFill/>
            </a:ln>
          </c:spPr>
          <c:cat>
            <c:strRef>
              <c:f>Consolida_Dimensões_Sintético!$A$3:$A$7</c:f>
              <c:strCache>
                <c:ptCount val="5"/>
                <c:pt idx="0">
                  <c:v>Empreendedor</c:v>
                </c:pt>
                <c:pt idx="1">
                  <c:v>Tecnologia</c:v>
                </c:pt>
                <c:pt idx="2">
                  <c:v>Capital</c:v>
                </c:pt>
                <c:pt idx="3">
                  <c:v>Mercado</c:v>
                </c:pt>
                <c:pt idx="4">
                  <c:v>Gestão</c:v>
                </c:pt>
              </c:strCache>
            </c:strRef>
          </c:cat>
          <c:val>
            <c:numRef>
              <c:f>Consolida_Dimensões_Sintético!$E$3:$E$7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FB-4184-AD62-EF3EC381A826}"/>
            </c:ext>
          </c:extLst>
        </c:ser>
        <c:ser>
          <c:idx val="2"/>
          <c:order val="1"/>
          <c:tx>
            <c:strRef>
              <c:f>Consolida_Dimensões_Sintético!$D$1</c:f>
              <c:strCache>
                <c:ptCount val="1"/>
                <c:pt idx="0">
                  <c:v>Levemente Otimizado</c:v>
                </c:pt>
              </c:strCache>
            </c:strRef>
          </c:tx>
          <c:spPr>
            <a:ln w="25400">
              <a:noFill/>
            </a:ln>
          </c:spPr>
          <c:cat>
            <c:strRef>
              <c:f>Consolida_Dimensões_Sintético!$A$3:$A$7</c:f>
              <c:strCache>
                <c:ptCount val="5"/>
                <c:pt idx="0">
                  <c:v>Empreendedor</c:v>
                </c:pt>
                <c:pt idx="1">
                  <c:v>Tecnologia</c:v>
                </c:pt>
                <c:pt idx="2">
                  <c:v>Capital</c:v>
                </c:pt>
                <c:pt idx="3">
                  <c:v>Mercado</c:v>
                </c:pt>
                <c:pt idx="4">
                  <c:v>Gestão</c:v>
                </c:pt>
              </c:strCache>
            </c:strRef>
          </c:cat>
          <c:val>
            <c:numRef>
              <c:f>Consolida_Dimensões_Sintético!$D$3:$D$7</c:f>
              <c:numCache>
                <c:formatCode>0%</c:formatCode>
                <c:ptCount val="5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3FB-4184-AD62-EF3EC381A826}"/>
            </c:ext>
          </c:extLst>
        </c:ser>
        <c:ser>
          <c:idx val="1"/>
          <c:order val="2"/>
          <c:tx>
            <c:strRef>
              <c:f>Consolida_Dimensões_Sintético!$C$1</c:f>
              <c:strCache>
                <c:ptCount val="1"/>
                <c:pt idx="0">
                  <c:v>Levemente Inicial</c:v>
                </c:pt>
              </c:strCache>
            </c:strRef>
          </c:tx>
          <c:spPr>
            <a:ln w="25400">
              <a:noFill/>
            </a:ln>
          </c:spPr>
          <c:cat>
            <c:strRef>
              <c:f>Consolida_Dimensões_Sintético!$A$3:$A$7</c:f>
              <c:strCache>
                <c:ptCount val="5"/>
                <c:pt idx="0">
                  <c:v>Empreendedor</c:v>
                </c:pt>
                <c:pt idx="1">
                  <c:v>Tecnologia</c:v>
                </c:pt>
                <c:pt idx="2">
                  <c:v>Capital</c:v>
                </c:pt>
                <c:pt idx="3">
                  <c:v>Mercado</c:v>
                </c:pt>
                <c:pt idx="4">
                  <c:v>Gestão</c:v>
                </c:pt>
              </c:strCache>
            </c:strRef>
          </c:cat>
          <c:val>
            <c:numRef>
              <c:f>Consolida_Dimensões_Sintético!$C$3:$C$7</c:f>
              <c:numCache>
                <c:formatCode>0%</c:formatCode>
                <c:ptCount val="5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3FB-4184-AD62-EF3EC381A826}"/>
            </c:ext>
          </c:extLst>
        </c:ser>
        <c:ser>
          <c:idx val="0"/>
          <c:order val="3"/>
          <c:tx>
            <c:strRef>
              <c:f>Consolida_Dimensões_Sintético!$B$1</c:f>
              <c:strCache>
                <c:ptCount val="1"/>
                <c:pt idx="0">
                  <c:v>Inicial</c:v>
                </c:pt>
              </c:strCache>
            </c:strRef>
          </c:tx>
          <c:cat>
            <c:strRef>
              <c:f>Consolida_Dimensões_Sintético!$A$3:$A$7</c:f>
              <c:strCache>
                <c:ptCount val="5"/>
                <c:pt idx="0">
                  <c:v>Empreendedor</c:v>
                </c:pt>
                <c:pt idx="1">
                  <c:v>Tecnologia</c:v>
                </c:pt>
                <c:pt idx="2">
                  <c:v>Capital</c:v>
                </c:pt>
                <c:pt idx="3">
                  <c:v>Mercado</c:v>
                </c:pt>
                <c:pt idx="4">
                  <c:v>Gestão</c:v>
                </c:pt>
              </c:strCache>
            </c:strRef>
          </c:cat>
          <c:val>
            <c:numRef>
              <c:f>Consolida_Dimensões_Sintético!$B$3:$B$7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3FB-4184-AD62-EF3EC381A826}"/>
            </c:ext>
          </c:extLst>
        </c:ser>
        <c:ser>
          <c:idx val="4"/>
          <c:order val="4"/>
          <c:tx>
            <c:strRef>
              <c:f>Consolida_Dimensões_Sintético!$F$1</c:f>
              <c:strCache>
                <c:ptCount val="1"/>
                <c:pt idx="0">
                  <c:v>Resposta Empreendimento</c:v>
                </c:pt>
              </c:strCache>
            </c:strRef>
          </c:tx>
          <c:spPr>
            <a:solidFill>
              <a:srgbClr val="FF0000">
                <a:alpha val="30000"/>
              </a:srgbClr>
            </a:solidFill>
            <a:ln w="12700">
              <a:solidFill>
                <a:srgbClr val="FF0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Consolida_Dimensões_Sintético!$A$3:$A$7</c:f>
              <c:strCache>
                <c:ptCount val="5"/>
                <c:pt idx="0">
                  <c:v>Empreendedor</c:v>
                </c:pt>
                <c:pt idx="1">
                  <c:v>Tecnologia</c:v>
                </c:pt>
                <c:pt idx="2">
                  <c:v>Capital</c:v>
                </c:pt>
                <c:pt idx="3">
                  <c:v>Mercado</c:v>
                </c:pt>
                <c:pt idx="4">
                  <c:v>Gestão</c:v>
                </c:pt>
              </c:strCache>
            </c:strRef>
          </c:cat>
          <c:val>
            <c:numRef>
              <c:f>Consolida_Dimensões_Sintético!$F$3:$F$7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3FB-4184-AD62-EF3EC381A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621248"/>
        <c:axId val="76259328"/>
      </c:radarChart>
      <c:catAx>
        <c:axId val="11362124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pt-BR"/>
          </a:p>
        </c:txPr>
        <c:crossAx val="76259328"/>
        <c:crosses val="autoZero"/>
        <c:auto val="1"/>
        <c:lblAlgn val="ctr"/>
        <c:lblOffset val="100"/>
        <c:noMultiLvlLbl val="0"/>
      </c:catAx>
      <c:valAx>
        <c:axId val="76259328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113621248"/>
        <c:crosses val="autoZero"/>
        <c:crossBetween val="between"/>
        <c:majorUnit val="1"/>
      </c:valAx>
    </c:plotArea>
    <c:legend>
      <c:legendPos val="b"/>
      <c:legendEntry>
        <c:idx val="4"/>
        <c:txPr>
          <a:bodyPr/>
          <a:lstStyle/>
          <a:p>
            <a:pPr>
              <a:defRPr sz="1200" b="1">
                <a:solidFill>
                  <a:srgbClr val="FF0000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0.20711617201695942"/>
          <c:y val="0.9457047730144853"/>
          <c:w val="0.58702806379971739"/>
          <c:h val="4.2188360714169912E-2"/>
        </c:manualLayout>
      </c:layout>
      <c:overlay val="0"/>
      <c:txPr>
        <a:bodyPr/>
        <a:lstStyle/>
        <a:p>
          <a:pPr>
            <a:defRPr sz="1200" b="1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341" footer="0.3149606200000034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baseline="0"/>
              <a:t>MATURIDADE DOS EMPREENDIMENTOS VINCULADOS AO PROIN/UEG - ANALÍTICO</a:t>
            </a:r>
            <a:endParaRPr lang="pt-B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4096487320871787"/>
          <c:y val="0.13565470215291903"/>
          <c:w val="0.47832098765432696"/>
          <c:h val="0.74699228791773753"/>
        </c:manualLayout>
      </c:layout>
      <c:radarChart>
        <c:radarStyle val="filled"/>
        <c:varyColors val="0"/>
        <c:ser>
          <c:idx val="3"/>
          <c:order val="0"/>
          <c:tx>
            <c:strRef>
              <c:f>Consolida_Dimensões_Analítico!$F$1</c:f>
              <c:strCache>
                <c:ptCount val="1"/>
                <c:pt idx="0">
                  <c:v>Otimizado</c:v>
                </c:pt>
              </c:strCache>
            </c:strRef>
          </c:tx>
          <c:cat>
            <c:strRef>
              <c:f>Consolida_Dimensões_Analítico!$B$3:$B$44</c:f>
              <c:strCache>
                <c:ptCount val="42"/>
                <c:pt idx="0">
                  <c:v>1. Investimento no desenvolvimento e aplicação de conhecimentos.</c:v>
                </c:pt>
                <c:pt idx="1">
                  <c:v>2. Os empreendedores possuem formação prática em empreendedorismo.</c:v>
                </c:pt>
                <c:pt idx="2">
                  <c:v>3. Os empreendedores praticam ações para desenvolvimento das caracteristicas empreendedoras.</c:v>
                </c:pt>
                <c:pt idx="3">
                  <c:v>4. As funções e as responsabilidades dos empreendedores estão definidas.</c:v>
                </c:pt>
                <c:pt idx="4">
                  <c:v>5. Qualidade das decisões dos empreendedores.</c:v>
                </c:pt>
                <c:pt idx="5">
                  <c:v>6. Decisões estratégicas e decisões de rotina.</c:v>
                </c:pt>
                <c:pt idx="6">
                  <c:v>7. Decisões assertivas e no momento oportuno.</c:v>
                </c:pt>
                <c:pt idx="7">
                  <c:v>8. Alinhamento nas decisões estratégicas e de rotina.</c:v>
                </c:pt>
                <c:pt idx="8">
                  <c:v>9. Reconhecimento e incentivo entre os empreendedores são praticados à medida que os resultados esperados são alcançados (regra clara na partilha dos resultados positivos e negativos). [NÃO SE APLICA À MODALIDADE DE PRÉ-INCUBAÇÃO]</c:v>
                </c:pt>
                <c:pt idx="9">
                  <c:v>1. Modelo de negócio, proposta de valor e validações iniciais.</c:v>
                </c:pt>
                <c:pt idx="10">
                  <c:v>2. Validação do Tripé de Sustentação do Negócio.</c:v>
                </c:pt>
                <c:pt idx="11">
                  <c:v>3. Protótipo ou Produto Mínimo Viável e Fluxo do Processo.</c:v>
                </c:pt>
                <c:pt idx="12">
                  <c:v>4. Quanto a Análise de viabilidade (mercado, operacional, financeira, crescimento, produto/serviço) e Plano de Desenvolvimento do Produto/Serviço, necessários para o Planejamento do Negócio e do Produto, Serviço e/ou Tecnologia.</c:v>
                </c:pt>
                <c:pt idx="13">
                  <c:v>5. Os registros e licenças.</c:v>
                </c:pt>
                <c:pt idx="14">
                  <c:v>6. Propriedade Intelectual/Patente.</c:v>
                </c:pt>
                <c:pt idx="15">
                  <c:v>7. Informações comparativas na análise do desempenho e melhoria.</c:v>
                </c:pt>
                <c:pt idx="16">
                  <c:v>1. Recursos/investimentos financeiros necessários para o desenvolvimento do produto e/ou serviço ou operação (venda e distribuição).</c:v>
                </c:pt>
                <c:pt idx="17">
                  <c:v>2. Fontes de financiamento.</c:v>
                </c:pt>
                <c:pt idx="18">
                  <c:v>3. Projeções de receitas e de custos.</c:v>
                </c:pt>
                <c:pt idx="19">
                  <c:v>4. Alavancagem financeira.</c:v>
                </c:pt>
                <c:pt idx="20">
                  <c:v>5. Cultura de projetos e captação de recursos para desenvolvimento do produto e/ou serviço.</c:v>
                </c:pt>
                <c:pt idx="21">
                  <c:v>1. Segmentação de clientes e necessidades.</c:v>
                </c:pt>
                <c:pt idx="22">
                  <c:v>2. Dimensionamento de mercado e preço do produto/serviço.</c:v>
                </c:pt>
                <c:pt idx="23">
                  <c:v>3. Canais</c:v>
                </c:pt>
                <c:pt idx="24">
                  <c:v>4. Reclamações dos clientes. [NÃO SE APLICA À MODALIDADE DE PRÉ-INCUBAÇÃO]</c:v>
                </c:pt>
                <c:pt idx="25">
                  <c:v>5. Informações para fidelização, a captação de novos clientes e relacionamento. [NÃO SE APLICA À MODALIDADE DE PRÉ-INCUBAÇÃO]</c:v>
                </c:pt>
                <c:pt idx="26">
                  <c:v>6. Cadastro de clientes. [NÃO SE APLICA À MODALIDADE DE PRÉ-INCUBAÇÃO]</c:v>
                </c:pt>
                <c:pt idx="27">
                  <c:v>7. Prospecção.</c:v>
                </c:pt>
                <c:pt idx="28">
                  <c:v>8. Informações externas e oportunidades de inovação.</c:v>
                </c:pt>
                <c:pt idx="29">
                  <c:v>9. Estratégias de internacionalização.</c:v>
                </c:pt>
                <c:pt idx="30">
                  <c:v>10. Desempenho das vendas. [NÃO SE APLICA À MODALIDADE DE PRÉ-INCUBAÇÃO]</c:v>
                </c:pt>
                <c:pt idx="31">
                  <c:v>11. Pós-Venda. [NÃO SE APLICA À MODALIDADE DE PRÉ-INCUBAÇÃO]</c:v>
                </c:pt>
                <c:pt idx="32">
                  <c:v>12. Identidade visual. [NÃO SE APLICA À MODALIDADE DE PRÉ-INCUBAÇÃO]</c:v>
                </c:pt>
                <c:pt idx="33">
                  <c:v>1. Empreendimento legalmente constituído.</c:v>
                </c:pt>
                <c:pt idx="34">
                  <c:v>2. Impactos negativos causados pelo empreendimento são conhecidos e tratados.</c:v>
                </c:pt>
                <c:pt idx="35">
                  <c:v>3. Os perigos e os riscos relacionados à SST dos empreendedores são identificados e tratados.</c:v>
                </c:pt>
                <c:pt idx="36">
                  <c:v>4. Ideologia Missão, Visão, Valores.</c:v>
                </c:pt>
                <c:pt idx="37">
                  <c:v>5. As principais diretrizes e os respectivos planos de ação.</c:v>
                </c:pt>
                <c:pt idx="38">
                  <c:v>6. Indicadores e metas para os planos de ação e para o empreendimento como um todo.</c:v>
                </c:pt>
                <c:pt idx="39">
                  <c:v>7. A jornada do cliente e os processos de suporte. [NÃO SE APLICA À MODALIDADE DE PRÉ-INCUBAÇÃO]</c:v>
                </c:pt>
                <c:pt idx="40">
                  <c:v>8. Os potenciais fornecedores requeridos pelo negócio são conhecidos.</c:v>
                </c:pt>
                <c:pt idx="41">
                  <c:v>9. Os principais fornecedores estão estabelecidos (vínculo formal) e, além disso, são avaliados.</c:v>
                </c:pt>
              </c:strCache>
            </c:strRef>
          </c:cat>
          <c:val>
            <c:numRef>
              <c:f>Consolida_Dimensões_Analítico!$F$3:$F$44</c:f>
              <c:numCache>
                <c:formatCode>0%</c:formatCode>
                <c:ptCount val="4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98C-4B3F-BFAF-3A9BAF4A166F}"/>
            </c:ext>
          </c:extLst>
        </c:ser>
        <c:ser>
          <c:idx val="2"/>
          <c:order val="1"/>
          <c:tx>
            <c:strRef>
              <c:f>Consolida_Dimensões_Analítico!$E$1</c:f>
              <c:strCache>
                <c:ptCount val="1"/>
                <c:pt idx="0">
                  <c:v>Levemente Otimizado</c:v>
                </c:pt>
              </c:strCache>
            </c:strRef>
          </c:tx>
          <c:cat>
            <c:strRef>
              <c:f>Consolida_Dimensões_Analítico!$B$3:$B$44</c:f>
              <c:strCache>
                <c:ptCount val="42"/>
                <c:pt idx="0">
                  <c:v>1. Investimento no desenvolvimento e aplicação de conhecimentos.</c:v>
                </c:pt>
                <c:pt idx="1">
                  <c:v>2. Os empreendedores possuem formação prática em empreendedorismo.</c:v>
                </c:pt>
                <c:pt idx="2">
                  <c:v>3. Os empreendedores praticam ações para desenvolvimento das caracteristicas empreendedoras.</c:v>
                </c:pt>
                <c:pt idx="3">
                  <c:v>4. As funções e as responsabilidades dos empreendedores estão definidas.</c:v>
                </c:pt>
                <c:pt idx="4">
                  <c:v>5. Qualidade das decisões dos empreendedores.</c:v>
                </c:pt>
                <c:pt idx="5">
                  <c:v>6. Decisões estratégicas e decisões de rotina.</c:v>
                </c:pt>
                <c:pt idx="6">
                  <c:v>7. Decisões assertivas e no momento oportuno.</c:v>
                </c:pt>
                <c:pt idx="7">
                  <c:v>8. Alinhamento nas decisões estratégicas e de rotina.</c:v>
                </c:pt>
                <c:pt idx="8">
                  <c:v>9. Reconhecimento e incentivo entre os empreendedores são praticados à medida que os resultados esperados são alcançados (regra clara na partilha dos resultados positivos e negativos). [NÃO SE APLICA À MODALIDADE DE PRÉ-INCUBAÇÃO]</c:v>
                </c:pt>
                <c:pt idx="9">
                  <c:v>1. Modelo de negócio, proposta de valor e validações iniciais.</c:v>
                </c:pt>
                <c:pt idx="10">
                  <c:v>2. Validação do Tripé de Sustentação do Negócio.</c:v>
                </c:pt>
                <c:pt idx="11">
                  <c:v>3. Protótipo ou Produto Mínimo Viável e Fluxo do Processo.</c:v>
                </c:pt>
                <c:pt idx="12">
                  <c:v>4. Quanto a Análise de viabilidade (mercado, operacional, financeira, crescimento, produto/serviço) e Plano de Desenvolvimento do Produto/Serviço, necessários para o Planejamento do Negócio e do Produto, Serviço e/ou Tecnologia.</c:v>
                </c:pt>
                <c:pt idx="13">
                  <c:v>5. Os registros e licenças.</c:v>
                </c:pt>
                <c:pt idx="14">
                  <c:v>6. Propriedade Intelectual/Patente.</c:v>
                </c:pt>
                <c:pt idx="15">
                  <c:v>7. Informações comparativas na análise do desempenho e melhoria.</c:v>
                </c:pt>
                <c:pt idx="16">
                  <c:v>1. Recursos/investimentos financeiros necessários para o desenvolvimento do produto e/ou serviço ou operação (venda e distribuição).</c:v>
                </c:pt>
                <c:pt idx="17">
                  <c:v>2. Fontes de financiamento.</c:v>
                </c:pt>
                <c:pt idx="18">
                  <c:v>3. Projeções de receitas e de custos.</c:v>
                </c:pt>
                <c:pt idx="19">
                  <c:v>4. Alavancagem financeira.</c:v>
                </c:pt>
                <c:pt idx="20">
                  <c:v>5. Cultura de projetos e captação de recursos para desenvolvimento do produto e/ou serviço.</c:v>
                </c:pt>
                <c:pt idx="21">
                  <c:v>1. Segmentação de clientes e necessidades.</c:v>
                </c:pt>
                <c:pt idx="22">
                  <c:v>2. Dimensionamento de mercado e preço do produto/serviço.</c:v>
                </c:pt>
                <c:pt idx="23">
                  <c:v>3. Canais</c:v>
                </c:pt>
                <c:pt idx="24">
                  <c:v>4. Reclamações dos clientes. [NÃO SE APLICA À MODALIDADE DE PRÉ-INCUBAÇÃO]</c:v>
                </c:pt>
                <c:pt idx="25">
                  <c:v>5. Informações para fidelização, a captação de novos clientes e relacionamento. [NÃO SE APLICA À MODALIDADE DE PRÉ-INCUBAÇÃO]</c:v>
                </c:pt>
                <c:pt idx="26">
                  <c:v>6. Cadastro de clientes. [NÃO SE APLICA À MODALIDADE DE PRÉ-INCUBAÇÃO]</c:v>
                </c:pt>
                <c:pt idx="27">
                  <c:v>7. Prospecção.</c:v>
                </c:pt>
                <c:pt idx="28">
                  <c:v>8. Informações externas e oportunidades de inovação.</c:v>
                </c:pt>
                <c:pt idx="29">
                  <c:v>9. Estratégias de internacionalização.</c:v>
                </c:pt>
                <c:pt idx="30">
                  <c:v>10. Desempenho das vendas. [NÃO SE APLICA À MODALIDADE DE PRÉ-INCUBAÇÃO]</c:v>
                </c:pt>
                <c:pt idx="31">
                  <c:v>11. Pós-Venda. [NÃO SE APLICA À MODALIDADE DE PRÉ-INCUBAÇÃO]</c:v>
                </c:pt>
                <c:pt idx="32">
                  <c:v>12. Identidade visual. [NÃO SE APLICA À MODALIDADE DE PRÉ-INCUBAÇÃO]</c:v>
                </c:pt>
                <c:pt idx="33">
                  <c:v>1. Empreendimento legalmente constituído.</c:v>
                </c:pt>
                <c:pt idx="34">
                  <c:v>2. Impactos negativos causados pelo empreendimento são conhecidos e tratados.</c:v>
                </c:pt>
                <c:pt idx="35">
                  <c:v>3. Os perigos e os riscos relacionados à SST dos empreendedores são identificados e tratados.</c:v>
                </c:pt>
                <c:pt idx="36">
                  <c:v>4. Ideologia Missão, Visão, Valores.</c:v>
                </c:pt>
                <c:pt idx="37">
                  <c:v>5. As principais diretrizes e os respectivos planos de ação.</c:v>
                </c:pt>
                <c:pt idx="38">
                  <c:v>6. Indicadores e metas para os planos de ação e para o empreendimento como um todo.</c:v>
                </c:pt>
                <c:pt idx="39">
                  <c:v>7. A jornada do cliente e os processos de suporte. [NÃO SE APLICA À MODALIDADE DE PRÉ-INCUBAÇÃO]</c:v>
                </c:pt>
                <c:pt idx="40">
                  <c:v>8. Os potenciais fornecedores requeridos pelo negócio são conhecidos.</c:v>
                </c:pt>
                <c:pt idx="41">
                  <c:v>9. Os principais fornecedores estão estabelecidos (vínculo formal) e, além disso, são avaliados.</c:v>
                </c:pt>
              </c:strCache>
            </c:strRef>
          </c:cat>
          <c:val>
            <c:numRef>
              <c:f>Consolida_Dimensões_Analítico!$E$3:$E$44</c:f>
              <c:numCache>
                <c:formatCode>0%</c:formatCode>
                <c:ptCount val="42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0.8</c:v>
                </c:pt>
                <c:pt idx="28">
                  <c:v>0.8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98C-4B3F-BFAF-3A9BAF4A166F}"/>
            </c:ext>
          </c:extLst>
        </c:ser>
        <c:ser>
          <c:idx val="1"/>
          <c:order val="2"/>
          <c:tx>
            <c:strRef>
              <c:f>Consolida_Dimensões_Analítico!$D$1</c:f>
              <c:strCache>
                <c:ptCount val="1"/>
                <c:pt idx="0">
                  <c:v>Levemente Inicial</c:v>
                </c:pt>
              </c:strCache>
            </c:strRef>
          </c:tx>
          <c:cat>
            <c:strRef>
              <c:f>Consolida_Dimensões_Analítico!$B$3:$B$44</c:f>
              <c:strCache>
                <c:ptCount val="42"/>
                <c:pt idx="0">
                  <c:v>1. Investimento no desenvolvimento e aplicação de conhecimentos.</c:v>
                </c:pt>
                <c:pt idx="1">
                  <c:v>2. Os empreendedores possuem formação prática em empreendedorismo.</c:v>
                </c:pt>
                <c:pt idx="2">
                  <c:v>3. Os empreendedores praticam ações para desenvolvimento das caracteristicas empreendedoras.</c:v>
                </c:pt>
                <c:pt idx="3">
                  <c:v>4. As funções e as responsabilidades dos empreendedores estão definidas.</c:v>
                </c:pt>
                <c:pt idx="4">
                  <c:v>5. Qualidade das decisões dos empreendedores.</c:v>
                </c:pt>
                <c:pt idx="5">
                  <c:v>6. Decisões estratégicas e decisões de rotina.</c:v>
                </c:pt>
                <c:pt idx="6">
                  <c:v>7. Decisões assertivas e no momento oportuno.</c:v>
                </c:pt>
                <c:pt idx="7">
                  <c:v>8. Alinhamento nas decisões estratégicas e de rotina.</c:v>
                </c:pt>
                <c:pt idx="8">
                  <c:v>9. Reconhecimento e incentivo entre os empreendedores são praticados à medida que os resultados esperados são alcançados (regra clara na partilha dos resultados positivos e negativos). [NÃO SE APLICA À MODALIDADE DE PRÉ-INCUBAÇÃO]</c:v>
                </c:pt>
                <c:pt idx="9">
                  <c:v>1. Modelo de negócio, proposta de valor e validações iniciais.</c:v>
                </c:pt>
                <c:pt idx="10">
                  <c:v>2. Validação do Tripé de Sustentação do Negócio.</c:v>
                </c:pt>
                <c:pt idx="11">
                  <c:v>3. Protótipo ou Produto Mínimo Viável e Fluxo do Processo.</c:v>
                </c:pt>
                <c:pt idx="12">
                  <c:v>4. Quanto a Análise de viabilidade (mercado, operacional, financeira, crescimento, produto/serviço) e Plano de Desenvolvimento do Produto/Serviço, necessários para o Planejamento do Negócio e do Produto, Serviço e/ou Tecnologia.</c:v>
                </c:pt>
                <c:pt idx="13">
                  <c:v>5. Os registros e licenças.</c:v>
                </c:pt>
                <c:pt idx="14">
                  <c:v>6. Propriedade Intelectual/Patente.</c:v>
                </c:pt>
                <c:pt idx="15">
                  <c:v>7. Informações comparativas na análise do desempenho e melhoria.</c:v>
                </c:pt>
                <c:pt idx="16">
                  <c:v>1. Recursos/investimentos financeiros necessários para o desenvolvimento do produto e/ou serviço ou operação (venda e distribuição).</c:v>
                </c:pt>
                <c:pt idx="17">
                  <c:v>2. Fontes de financiamento.</c:v>
                </c:pt>
                <c:pt idx="18">
                  <c:v>3. Projeções de receitas e de custos.</c:v>
                </c:pt>
                <c:pt idx="19">
                  <c:v>4. Alavancagem financeira.</c:v>
                </c:pt>
                <c:pt idx="20">
                  <c:v>5. Cultura de projetos e captação de recursos para desenvolvimento do produto e/ou serviço.</c:v>
                </c:pt>
                <c:pt idx="21">
                  <c:v>1. Segmentação de clientes e necessidades.</c:v>
                </c:pt>
                <c:pt idx="22">
                  <c:v>2. Dimensionamento de mercado e preço do produto/serviço.</c:v>
                </c:pt>
                <c:pt idx="23">
                  <c:v>3. Canais</c:v>
                </c:pt>
                <c:pt idx="24">
                  <c:v>4. Reclamações dos clientes. [NÃO SE APLICA À MODALIDADE DE PRÉ-INCUBAÇÃO]</c:v>
                </c:pt>
                <c:pt idx="25">
                  <c:v>5. Informações para fidelização, a captação de novos clientes e relacionamento. [NÃO SE APLICA À MODALIDADE DE PRÉ-INCUBAÇÃO]</c:v>
                </c:pt>
                <c:pt idx="26">
                  <c:v>6. Cadastro de clientes. [NÃO SE APLICA À MODALIDADE DE PRÉ-INCUBAÇÃO]</c:v>
                </c:pt>
                <c:pt idx="27">
                  <c:v>7. Prospecção.</c:v>
                </c:pt>
                <c:pt idx="28">
                  <c:v>8. Informações externas e oportunidades de inovação.</c:v>
                </c:pt>
                <c:pt idx="29">
                  <c:v>9. Estratégias de internacionalização.</c:v>
                </c:pt>
                <c:pt idx="30">
                  <c:v>10. Desempenho das vendas. [NÃO SE APLICA À MODALIDADE DE PRÉ-INCUBAÇÃO]</c:v>
                </c:pt>
                <c:pt idx="31">
                  <c:v>11. Pós-Venda. [NÃO SE APLICA À MODALIDADE DE PRÉ-INCUBAÇÃO]</c:v>
                </c:pt>
                <c:pt idx="32">
                  <c:v>12. Identidade visual. [NÃO SE APLICA À MODALIDADE DE PRÉ-INCUBAÇÃO]</c:v>
                </c:pt>
                <c:pt idx="33">
                  <c:v>1. Empreendimento legalmente constituído.</c:v>
                </c:pt>
                <c:pt idx="34">
                  <c:v>2. Impactos negativos causados pelo empreendimento são conhecidos e tratados.</c:v>
                </c:pt>
                <c:pt idx="35">
                  <c:v>3. Os perigos e os riscos relacionados à SST dos empreendedores são identificados e tratados.</c:v>
                </c:pt>
                <c:pt idx="36">
                  <c:v>4. Ideologia Missão, Visão, Valores.</c:v>
                </c:pt>
                <c:pt idx="37">
                  <c:v>5. As principais diretrizes e os respectivos planos de ação.</c:v>
                </c:pt>
                <c:pt idx="38">
                  <c:v>6. Indicadores e metas para os planos de ação e para o empreendimento como um todo.</c:v>
                </c:pt>
                <c:pt idx="39">
                  <c:v>7. A jornada do cliente e os processos de suporte. [NÃO SE APLICA À MODALIDADE DE PRÉ-INCUBAÇÃO]</c:v>
                </c:pt>
                <c:pt idx="40">
                  <c:v>8. Os potenciais fornecedores requeridos pelo negócio são conhecidos.</c:v>
                </c:pt>
                <c:pt idx="41">
                  <c:v>9. Os principais fornecedores estão estabelecidos (vínculo formal) e, além disso, são avaliados.</c:v>
                </c:pt>
              </c:strCache>
            </c:strRef>
          </c:cat>
          <c:val>
            <c:numRef>
              <c:f>Consolida_Dimensões_Analítico!$D$3:$D$44</c:f>
              <c:numCache>
                <c:formatCode>0%</c:formatCode>
                <c:ptCount val="42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98C-4B3F-BFAF-3A9BAF4A166F}"/>
            </c:ext>
          </c:extLst>
        </c:ser>
        <c:ser>
          <c:idx val="0"/>
          <c:order val="3"/>
          <c:tx>
            <c:strRef>
              <c:f>Consolida_Dimensões_Analítico!$C$1</c:f>
              <c:strCache>
                <c:ptCount val="1"/>
                <c:pt idx="0">
                  <c:v>Inicial</c:v>
                </c:pt>
              </c:strCache>
            </c:strRef>
          </c:tx>
          <c:cat>
            <c:strRef>
              <c:f>Consolida_Dimensões_Analítico!$B$3:$B$44</c:f>
              <c:strCache>
                <c:ptCount val="42"/>
                <c:pt idx="0">
                  <c:v>1. Investimento no desenvolvimento e aplicação de conhecimentos.</c:v>
                </c:pt>
                <c:pt idx="1">
                  <c:v>2. Os empreendedores possuem formação prática em empreendedorismo.</c:v>
                </c:pt>
                <c:pt idx="2">
                  <c:v>3. Os empreendedores praticam ações para desenvolvimento das caracteristicas empreendedoras.</c:v>
                </c:pt>
                <c:pt idx="3">
                  <c:v>4. As funções e as responsabilidades dos empreendedores estão definidas.</c:v>
                </c:pt>
                <c:pt idx="4">
                  <c:v>5. Qualidade das decisões dos empreendedores.</c:v>
                </c:pt>
                <c:pt idx="5">
                  <c:v>6. Decisões estratégicas e decisões de rotina.</c:v>
                </c:pt>
                <c:pt idx="6">
                  <c:v>7. Decisões assertivas e no momento oportuno.</c:v>
                </c:pt>
                <c:pt idx="7">
                  <c:v>8. Alinhamento nas decisões estratégicas e de rotina.</c:v>
                </c:pt>
                <c:pt idx="8">
                  <c:v>9. Reconhecimento e incentivo entre os empreendedores são praticados à medida que os resultados esperados são alcançados (regra clara na partilha dos resultados positivos e negativos). [NÃO SE APLICA À MODALIDADE DE PRÉ-INCUBAÇÃO]</c:v>
                </c:pt>
                <c:pt idx="9">
                  <c:v>1. Modelo de negócio, proposta de valor e validações iniciais.</c:v>
                </c:pt>
                <c:pt idx="10">
                  <c:v>2. Validação do Tripé de Sustentação do Negócio.</c:v>
                </c:pt>
                <c:pt idx="11">
                  <c:v>3. Protótipo ou Produto Mínimo Viável e Fluxo do Processo.</c:v>
                </c:pt>
                <c:pt idx="12">
                  <c:v>4. Quanto a Análise de viabilidade (mercado, operacional, financeira, crescimento, produto/serviço) e Plano de Desenvolvimento do Produto/Serviço, necessários para o Planejamento do Negócio e do Produto, Serviço e/ou Tecnologia.</c:v>
                </c:pt>
                <c:pt idx="13">
                  <c:v>5. Os registros e licenças.</c:v>
                </c:pt>
                <c:pt idx="14">
                  <c:v>6. Propriedade Intelectual/Patente.</c:v>
                </c:pt>
                <c:pt idx="15">
                  <c:v>7. Informações comparativas na análise do desempenho e melhoria.</c:v>
                </c:pt>
                <c:pt idx="16">
                  <c:v>1. Recursos/investimentos financeiros necessários para o desenvolvimento do produto e/ou serviço ou operação (venda e distribuição).</c:v>
                </c:pt>
                <c:pt idx="17">
                  <c:v>2. Fontes de financiamento.</c:v>
                </c:pt>
                <c:pt idx="18">
                  <c:v>3. Projeções de receitas e de custos.</c:v>
                </c:pt>
                <c:pt idx="19">
                  <c:v>4. Alavancagem financeira.</c:v>
                </c:pt>
                <c:pt idx="20">
                  <c:v>5. Cultura de projetos e captação de recursos para desenvolvimento do produto e/ou serviço.</c:v>
                </c:pt>
                <c:pt idx="21">
                  <c:v>1. Segmentação de clientes e necessidades.</c:v>
                </c:pt>
                <c:pt idx="22">
                  <c:v>2. Dimensionamento de mercado e preço do produto/serviço.</c:v>
                </c:pt>
                <c:pt idx="23">
                  <c:v>3. Canais</c:v>
                </c:pt>
                <c:pt idx="24">
                  <c:v>4. Reclamações dos clientes. [NÃO SE APLICA À MODALIDADE DE PRÉ-INCUBAÇÃO]</c:v>
                </c:pt>
                <c:pt idx="25">
                  <c:v>5. Informações para fidelização, a captação de novos clientes e relacionamento. [NÃO SE APLICA À MODALIDADE DE PRÉ-INCUBAÇÃO]</c:v>
                </c:pt>
                <c:pt idx="26">
                  <c:v>6. Cadastro de clientes. [NÃO SE APLICA À MODALIDADE DE PRÉ-INCUBAÇÃO]</c:v>
                </c:pt>
                <c:pt idx="27">
                  <c:v>7. Prospecção.</c:v>
                </c:pt>
                <c:pt idx="28">
                  <c:v>8. Informações externas e oportunidades de inovação.</c:v>
                </c:pt>
                <c:pt idx="29">
                  <c:v>9. Estratégias de internacionalização.</c:v>
                </c:pt>
                <c:pt idx="30">
                  <c:v>10. Desempenho das vendas. [NÃO SE APLICA À MODALIDADE DE PRÉ-INCUBAÇÃO]</c:v>
                </c:pt>
                <c:pt idx="31">
                  <c:v>11. Pós-Venda. [NÃO SE APLICA À MODALIDADE DE PRÉ-INCUBAÇÃO]</c:v>
                </c:pt>
                <c:pt idx="32">
                  <c:v>12. Identidade visual. [NÃO SE APLICA À MODALIDADE DE PRÉ-INCUBAÇÃO]</c:v>
                </c:pt>
                <c:pt idx="33">
                  <c:v>1. Empreendimento legalmente constituído.</c:v>
                </c:pt>
                <c:pt idx="34">
                  <c:v>2. Impactos negativos causados pelo empreendimento são conhecidos e tratados.</c:v>
                </c:pt>
                <c:pt idx="35">
                  <c:v>3. Os perigos e os riscos relacionados à SST dos empreendedores são identificados e tratados.</c:v>
                </c:pt>
                <c:pt idx="36">
                  <c:v>4. Ideologia Missão, Visão, Valores.</c:v>
                </c:pt>
                <c:pt idx="37">
                  <c:v>5. As principais diretrizes e os respectivos planos de ação.</c:v>
                </c:pt>
                <c:pt idx="38">
                  <c:v>6. Indicadores e metas para os planos de ação e para o empreendimento como um todo.</c:v>
                </c:pt>
                <c:pt idx="39">
                  <c:v>7. A jornada do cliente e os processos de suporte. [NÃO SE APLICA À MODALIDADE DE PRÉ-INCUBAÇÃO]</c:v>
                </c:pt>
                <c:pt idx="40">
                  <c:v>8. Os potenciais fornecedores requeridos pelo negócio são conhecidos.</c:v>
                </c:pt>
                <c:pt idx="41">
                  <c:v>9. Os principais fornecedores estão estabelecidos (vínculo formal) e, além disso, são avaliados.</c:v>
                </c:pt>
              </c:strCache>
            </c:strRef>
          </c:cat>
          <c:val>
            <c:numRef>
              <c:f>Consolida_Dimensões_Analítico!$C$3:$C$44</c:f>
              <c:numCache>
                <c:formatCode>0%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98C-4B3F-BFAF-3A9BAF4A166F}"/>
            </c:ext>
          </c:extLst>
        </c:ser>
        <c:ser>
          <c:idx val="4"/>
          <c:order val="4"/>
          <c:tx>
            <c:strRef>
              <c:f>Consolida_Dimensões_Analítico!$G$1</c:f>
              <c:strCache>
                <c:ptCount val="1"/>
                <c:pt idx="0">
                  <c:v>Respostas Empreendimentos</c:v>
                </c:pt>
              </c:strCache>
            </c:strRef>
          </c:tx>
          <c:spPr>
            <a:solidFill>
              <a:srgbClr val="FF0000">
                <a:alpha val="30000"/>
              </a:srgbClr>
            </a:solidFill>
            <a:ln w="12700">
              <a:solidFill>
                <a:srgbClr val="FF0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FF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Consolida_Dimensões_Analítico!$B$3:$B$44</c:f>
              <c:strCache>
                <c:ptCount val="42"/>
                <c:pt idx="0">
                  <c:v>1. Investimento no desenvolvimento e aplicação de conhecimentos.</c:v>
                </c:pt>
                <c:pt idx="1">
                  <c:v>2. Os empreendedores possuem formação prática em empreendedorismo.</c:v>
                </c:pt>
                <c:pt idx="2">
                  <c:v>3. Os empreendedores praticam ações para desenvolvimento das caracteristicas empreendedoras.</c:v>
                </c:pt>
                <c:pt idx="3">
                  <c:v>4. As funções e as responsabilidades dos empreendedores estão definidas.</c:v>
                </c:pt>
                <c:pt idx="4">
                  <c:v>5. Qualidade das decisões dos empreendedores.</c:v>
                </c:pt>
                <c:pt idx="5">
                  <c:v>6. Decisões estratégicas e decisões de rotina.</c:v>
                </c:pt>
                <c:pt idx="6">
                  <c:v>7. Decisões assertivas e no momento oportuno.</c:v>
                </c:pt>
                <c:pt idx="7">
                  <c:v>8. Alinhamento nas decisões estratégicas e de rotina.</c:v>
                </c:pt>
                <c:pt idx="8">
                  <c:v>9. Reconhecimento e incentivo entre os empreendedores são praticados à medida que os resultados esperados são alcançados (regra clara na partilha dos resultados positivos e negativos). [NÃO SE APLICA À MODALIDADE DE PRÉ-INCUBAÇÃO]</c:v>
                </c:pt>
                <c:pt idx="9">
                  <c:v>1. Modelo de negócio, proposta de valor e validações iniciais.</c:v>
                </c:pt>
                <c:pt idx="10">
                  <c:v>2. Validação do Tripé de Sustentação do Negócio.</c:v>
                </c:pt>
                <c:pt idx="11">
                  <c:v>3. Protótipo ou Produto Mínimo Viável e Fluxo do Processo.</c:v>
                </c:pt>
                <c:pt idx="12">
                  <c:v>4. Quanto a Análise de viabilidade (mercado, operacional, financeira, crescimento, produto/serviço) e Plano de Desenvolvimento do Produto/Serviço, necessários para o Planejamento do Negócio e do Produto, Serviço e/ou Tecnologia.</c:v>
                </c:pt>
                <c:pt idx="13">
                  <c:v>5. Os registros e licenças.</c:v>
                </c:pt>
                <c:pt idx="14">
                  <c:v>6. Propriedade Intelectual/Patente.</c:v>
                </c:pt>
                <c:pt idx="15">
                  <c:v>7. Informações comparativas na análise do desempenho e melhoria.</c:v>
                </c:pt>
                <c:pt idx="16">
                  <c:v>1. Recursos/investimentos financeiros necessários para o desenvolvimento do produto e/ou serviço ou operação (venda e distribuição).</c:v>
                </c:pt>
                <c:pt idx="17">
                  <c:v>2. Fontes de financiamento.</c:v>
                </c:pt>
                <c:pt idx="18">
                  <c:v>3. Projeções de receitas e de custos.</c:v>
                </c:pt>
                <c:pt idx="19">
                  <c:v>4. Alavancagem financeira.</c:v>
                </c:pt>
                <c:pt idx="20">
                  <c:v>5. Cultura de projetos e captação de recursos para desenvolvimento do produto e/ou serviço.</c:v>
                </c:pt>
                <c:pt idx="21">
                  <c:v>1. Segmentação de clientes e necessidades.</c:v>
                </c:pt>
                <c:pt idx="22">
                  <c:v>2. Dimensionamento de mercado e preço do produto/serviço.</c:v>
                </c:pt>
                <c:pt idx="23">
                  <c:v>3. Canais</c:v>
                </c:pt>
                <c:pt idx="24">
                  <c:v>4. Reclamações dos clientes. [NÃO SE APLICA À MODALIDADE DE PRÉ-INCUBAÇÃO]</c:v>
                </c:pt>
                <c:pt idx="25">
                  <c:v>5. Informações para fidelização, a captação de novos clientes e relacionamento. [NÃO SE APLICA À MODALIDADE DE PRÉ-INCUBAÇÃO]</c:v>
                </c:pt>
                <c:pt idx="26">
                  <c:v>6. Cadastro de clientes. [NÃO SE APLICA À MODALIDADE DE PRÉ-INCUBAÇÃO]</c:v>
                </c:pt>
                <c:pt idx="27">
                  <c:v>7. Prospecção.</c:v>
                </c:pt>
                <c:pt idx="28">
                  <c:v>8. Informações externas e oportunidades de inovação.</c:v>
                </c:pt>
                <c:pt idx="29">
                  <c:v>9. Estratégias de internacionalização.</c:v>
                </c:pt>
                <c:pt idx="30">
                  <c:v>10. Desempenho das vendas. [NÃO SE APLICA À MODALIDADE DE PRÉ-INCUBAÇÃO]</c:v>
                </c:pt>
                <c:pt idx="31">
                  <c:v>11. Pós-Venda. [NÃO SE APLICA À MODALIDADE DE PRÉ-INCUBAÇÃO]</c:v>
                </c:pt>
                <c:pt idx="32">
                  <c:v>12. Identidade visual. [NÃO SE APLICA À MODALIDADE DE PRÉ-INCUBAÇÃO]</c:v>
                </c:pt>
                <c:pt idx="33">
                  <c:v>1. Empreendimento legalmente constituído.</c:v>
                </c:pt>
                <c:pt idx="34">
                  <c:v>2. Impactos negativos causados pelo empreendimento são conhecidos e tratados.</c:v>
                </c:pt>
                <c:pt idx="35">
                  <c:v>3. Os perigos e os riscos relacionados à SST dos empreendedores são identificados e tratados.</c:v>
                </c:pt>
                <c:pt idx="36">
                  <c:v>4. Ideologia Missão, Visão, Valores.</c:v>
                </c:pt>
                <c:pt idx="37">
                  <c:v>5. As principais diretrizes e os respectivos planos de ação.</c:v>
                </c:pt>
                <c:pt idx="38">
                  <c:v>6. Indicadores e metas para os planos de ação e para o empreendimento como um todo.</c:v>
                </c:pt>
                <c:pt idx="39">
                  <c:v>7. A jornada do cliente e os processos de suporte. [NÃO SE APLICA À MODALIDADE DE PRÉ-INCUBAÇÃO]</c:v>
                </c:pt>
                <c:pt idx="40">
                  <c:v>8. Os potenciais fornecedores requeridos pelo negócio são conhecidos.</c:v>
                </c:pt>
                <c:pt idx="41">
                  <c:v>9. Os principais fornecedores estão estabelecidos (vínculo formal) e, além disso, são avaliados.</c:v>
                </c:pt>
              </c:strCache>
            </c:strRef>
          </c:cat>
          <c:val>
            <c:numRef>
              <c:f>Consolida_Dimensões_Analítico!$H$3:$H$44</c:f>
              <c:numCache>
                <c:formatCode>0%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8C-4B3F-BFAF-3A9BAF4A1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41312"/>
        <c:axId val="76142848"/>
      </c:radarChart>
      <c:catAx>
        <c:axId val="76141312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 rot="0"/>
          <a:lstStyle/>
          <a:p>
            <a:pPr>
              <a:defRPr b="1"/>
            </a:pPr>
            <a:endParaRPr lang="pt-BR"/>
          </a:p>
        </c:txPr>
        <c:crossAx val="76142848"/>
        <c:crosses val="autoZero"/>
        <c:auto val="1"/>
        <c:lblAlgn val="ctr"/>
        <c:lblOffset val="100"/>
        <c:noMultiLvlLbl val="0"/>
      </c:catAx>
      <c:valAx>
        <c:axId val="76142848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76141312"/>
        <c:crosses val="autoZero"/>
        <c:crossBetween val="between"/>
        <c:majorUnit val="1"/>
      </c:valAx>
    </c:plotArea>
    <c:legend>
      <c:legendPos val="b"/>
      <c:legendEntry>
        <c:idx val="4"/>
        <c:txPr>
          <a:bodyPr/>
          <a:lstStyle/>
          <a:p>
            <a:pPr>
              <a:defRPr sz="1400" b="1">
                <a:solidFill>
                  <a:srgbClr val="FF0000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0.21806521997841841"/>
          <c:y val="0.94523970393560197"/>
          <c:w val="0.56349832424793056"/>
          <c:h val="4.0246265513107088E-2"/>
        </c:manualLayout>
      </c:layout>
      <c:overlay val="0"/>
      <c:txPr>
        <a:bodyPr/>
        <a:lstStyle/>
        <a:p>
          <a:pPr>
            <a:defRPr sz="1400" b="1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352" footer="0.31496062000000352"/>
    <c:pageSetup/>
  </c:printSettings>
  <c:userShapes r:id="rId1"/>
</c:chartSpac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firstButton="1" fmlaLink="Consolida_PE!$H$3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Radio" firstButton="1" fmlaLink="Consolida_PE!$H$4" lockText="1"/>
</file>

<file path=xl/ctrlProps/ctrlProp9.xml><?xml version="1.0" encoding="utf-8"?>
<formControlPr xmlns="http://schemas.microsoft.com/office/spreadsheetml/2009/9/main" objectType="Radio" lockText="1"/>
</file>

<file path=xl/ctrlProps/ctrlProp10.xml><?xml version="1.0" encoding="utf-8"?>
<formControlPr xmlns="http://schemas.microsoft.com/office/spreadsheetml/2009/9/main" objectType="Radio" lockText="1"/>
</file>

<file path=xl/ctrlProps/ctrlProp11.xml><?xml version="1.0" encoding="utf-8"?>
<formControlPr xmlns="http://schemas.microsoft.com/office/spreadsheetml/2009/9/main" objectType="Radio" lockText="1"/>
</file>

<file path=xl/ctrlProps/ctrlProp12.xml><?xml version="1.0" encoding="utf-8"?>
<formControlPr xmlns="http://schemas.microsoft.com/office/spreadsheetml/2009/9/main" objectType="Radio" lockText="1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Radio" firstButton="1" fmlaLink="Consolida_PE!$H$5" lockText="1"/>
</file>

<file path=xl/ctrlProps/ctrlProp15.xml><?xml version="1.0" encoding="utf-8"?>
<formControlPr xmlns="http://schemas.microsoft.com/office/spreadsheetml/2009/9/main" objectType="Radio" lockText="1"/>
</file>

<file path=xl/ctrlProps/ctrlProp16.xml><?xml version="1.0" encoding="utf-8"?>
<formControlPr xmlns="http://schemas.microsoft.com/office/spreadsheetml/2009/9/main" objectType="Radio" lockText="1"/>
</file>

<file path=xl/ctrlProps/ctrlProp17.xml><?xml version="1.0" encoding="utf-8"?>
<formControlPr xmlns="http://schemas.microsoft.com/office/spreadsheetml/2009/9/main" objectType="Radio" lockText="1"/>
</file>

<file path=xl/ctrlProps/ctrlProp18.xml><?xml version="1.0" encoding="utf-8"?>
<formControlPr xmlns="http://schemas.microsoft.com/office/spreadsheetml/2009/9/main" objectType="Radio" lockText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Radio" firstButton="1" fmlaLink="Consolida_PE!$H$6" lockText="1"/>
</file>

<file path=xl/ctrlProps/ctrlProp21.xml><?xml version="1.0" encoding="utf-8"?>
<formControlPr xmlns="http://schemas.microsoft.com/office/spreadsheetml/2009/9/main" objectType="Radio" lockText="1"/>
</file>

<file path=xl/ctrlProps/ctrlProp22.xml><?xml version="1.0" encoding="utf-8"?>
<formControlPr xmlns="http://schemas.microsoft.com/office/spreadsheetml/2009/9/main" objectType="Radio" lockText="1"/>
</file>

<file path=xl/ctrlProps/ctrlProp23.xml><?xml version="1.0" encoding="utf-8"?>
<formControlPr xmlns="http://schemas.microsoft.com/office/spreadsheetml/2009/9/main" objectType="Radio" lockText="1"/>
</file>

<file path=xl/ctrlProps/ctrlProp24.xml><?xml version="1.0" encoding="utf-8"?>
<formControlPr xmlns="http://schemas.microsoft.com/office/spreadsheetml/2009/9/main" objectType="Radio" lockText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Radio" firstButton="1" fmlaLink="Consolida_PE!$H$7" lockText="1"/>
</file>

<file path=xl/ctrlProps/ctrlProp27.xml><?xml version="1.0" encoding="utf-8"?>
<formControlPr xmlns="http://schemas.microsoft.com/office/spreadsheetml/2009/9/main" objectType="Radio" lockText="1"/>
</file>

<file path=xl/ctrlProps/ctrlProp28.xml><?xml version="1.0" encoding="utf-8"?>
<formControlPr xmlns="http://schemas.microsoft.com/office/spreadsheetml/2009/9/main" objectType="Radio" lockText="1"/>
</file>

<file path=xl/ctrlProps/ctrlProp29.xml><?xml version="1.0" encoding="utf-8"?>
<formControlPr xmlns="http://schemas.microsoft.com/office/spreadsheetml/2009/9/main" objectType="Radio" lockText="1"/>
</file>

<file path=xl/ctrlProps/ctrlProp30.xml><?xml version="1.0" encoding="utf-8"?>
<formControlPr xmlns="http://schemas.microsoft.com/office/spreadsheetml/2009/9/main" objectType="Radio" lockText="1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Radio" firstButton="1" fmlaLink="Consolida_PE!$H$8" lockText="1"/>
</file>

<file path=xl/ctrlProps/ctrlProp33.xml><?xml version="1.0" encoding="utf-8"?>
<formControlPr xmlns="http://schemas.microsoft.com/office/spreadsheetml/2009/9/main" objectType="Radio" lockText="1"/>
</file>

<file path=xl/ctrlProps/ctrlProp34.xml><?xml version="1.0" encoding="utf-8"?>
<formControlPr xmlns="http://schemas.microsoft.com/office/spreadsheetml/2009/9/main" objectType="Radio" lockText="1"/>
</file>

<file path=xl/ctrlProps/ctrlProp35.xml><?xml version="1.0" encoding="utf-8"?>
<formControlPr xmlns="http://schemas.microsoft.com/office/spreadsheetml/2009/9/main" objectType="Radio" lockText="1"/>
</file>

<file path=xl/ctrlProps/ctrlProp36.xml><?xml version="1.0" encoding="utf-8"?>
<formControlPr xmlns="http://schemas.microsoft.com/office/spreadsheetml/2009/9/main" objectType="Radio" lockText="1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Radio" firstButton="1" fmlaLink="Consolida_PE!$H$9" lockText="1"/>
</file>

<file path=xl/ctrlProps/ctrlProp39.xml><?xml version="1.0" encoding="utf-8"?>
<formControlPr xmlns="http://schemas.microsoft.com/office/spreadsheetml/2009/9/main" objectType="Radio" lockText="1"/>
</file>

<file path=xl/ctrlProps/ctrlProp40.xml><?xml version="1.0" encoding="utf-8"?>
<formControlPr xmlns="http://schemas.microsoft.com/office/spreadsheetml/2009/9/main" objectType="Radio" lockText="1"/>
</file>

<file path=xl/ctrlProps/ctrlProp41.xml><?xml version="1.0" encoding="utf-8"?>
<formControlPr xmlns="http://schemas.microsoft.com/office/spreadsheetml/2009/9/main" objectType="Radio" lockText="1"/>
</file>

<file path=xl/ctrlProps/ctrlProp42.xml><?xml version="1.0" encoding="utf-8"?>
<formControlPr xmlns="http://schemas.microsoft.com/office/spreadsheetml/2009/9/main" objectType="Radio" lockText="1"/>
</file>

<file path=xl/ctrlProps/ctrlProp43.xml><?xml version="1.0" encoding="utf-8"?>
<formControlPr xmlns="http://schemas.microsoft.com/office/spreadsheetml/2009/9/main" objectType="GBox"/>
</file>

<file path=xl/ctrlProps/ctrlProp44.xml><?xml version="1.0" encoding="utf-8"?>
<formControlPr xmlns="http://schemas.microsoft.com/office/spreadsheetml/2009/9/main" objectType="Radio" firstButton="1" fmlaLink="Consolida_PE!$H$10" lockText="1"/>
</file>

<file path=xl/ctrlProps/ctrlProp45.xml><?xml version="1.0" encoding="utf-8"?>
<formControlPr xmlns="http://schemas.microsoft.com/office/spreadsheetml/2009/9/main" objectType="Radio" lockText="1"/>
</file>

<file path=xl/ctrlProps/ctrlProp46.xml><?xml version="1.0" encoding="utf-8"?>
<formControlPr xmlns="http://schemas.microsoft.com/office/spreadsheetml/2009/9/main" objectType="Radio" lockText="1"/>
</file>

<file path=xl/ctrlProps/ctrlProp47.xml><?xml version="1.0" encoding="utf-8"?>
<formControlPr xmlns="http://schemas.microsoft.com/office/spreadsheetml/2009/9/main" objectType="Radio" lockText="1"/>
</file>

<file path=xl/ctrlProps/ctrlProp48.xml><?xml version="1.0" encoding="utf-8"?>
<formControlPr xmlns="http://schemas.microsoft.com/office/spreadsheetml/2009/9/main" objectType="Radio" lockText="1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Radio" firstButton="1" fmlaLink="Consolida_PE!$H$11" lockText="1"/>
</file>

<file path=xl/ctrlProps/ctrlProp51.xml><?xml version="1.0" encoding="utf-8"?>
<formControlPr xmlns="http://schemas.microsoft.com/office/spreadsheetml/2009/9/main" objectType="Radio" lockText="1"/>
</file>

<file path=xl/ctrlProps/ctrlProp52.xml><?xml version="1.0" encoding="utf-8"?>
<formControlPr xmlns="http://schemas.microsoft.com/office/spreadsheetml/2009/9/main" objectType="Radio" lockText="1"/>
</file>

<file path=xl/ctrlProps/ctrlProp53.xml><?xml version="1.0" encoding="utf-8"?>
<formControlPr xmlns="http://schemas.microsoft.com/office/spreadsheetml/2009/9/main" objectType="Radio" lockText="1"/>
</file>

<file path=xl/ctrlProps/ctrlProp54.xml><?xml version="1.0" encoding="utf-8"?>
<formControlPr xmlns="http://schemas.microsoft.com/office/spreadsheetml/2009/9/main" objectType="Radio" lockText="1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Radio" firstButton="1" fmlaLink="Consolida_PE!$H$12" lockText="1"/>
</file>

<file path=xl/ctrlProps/ctrlProp57.xml><?xml version="1.0" encoding="utf-8"?>
<formControlPr xmlns="http://schemas.microsoft.com/office/spreadsheetml/2009/9/main" objectType="Radio" lockText="1"/>
</file>

<file path=xl/ctrlProps/ctrlProp58.xml><?xml version="1.0" encoding="utf-8"?>
<formControlPr xmlns="http://schemas.microsoft.com/office/spreadsheetml/2009/9/main" objectType="Radio" lockText="1"/>
</file>

<file path=xl/ctrlProps/ctrlProp59.xml><?xml version="1.0" encoding="utf-8"?>
<formControlPr xmlns="http://schemas.microsoft.com/office/spreadsheetml/2009/9/main" objectType="Radio" lockText="1"/>
</file>

<file path=xl/ctrlProps/ctrlProp60.xml><?xml version="1.0" encoding="utf-8"?>
<formControlPr xmlns="http://schemas.microsoft.com/office/spreadsheetml/2009/9/main" objectType="Radio" lockText="1"/>
</file>

<file path=xl/ctrlProps/ctrlProp61.xml><?xml version="1.0" encoding="utf-8"?>
<formControlPr xmlns="http://schemas.microsoft.com/office/spreadsheetml/2009/9/main" objectType="GBox"/>
</file>

<file path=xl/ctrlProps/ctrlProp62.xml><?xml version="1.0" encoding="utf-8"?>
<formControlPr xmlns="http://schemas.microsoft.com/office/spreadsheetml/2009/9/main" objectType="Radio" firstButton="1" fmlaLink="Consolida_PE!$H$13" lockText="1"/>
</file>

<file path=xl/ctrlProps/ctrlProp63.xml><?xml version="1.0" encoding="utf-8"?>
<formControlPr xmlns="http://schemas.microsoft.com/office/spreadsheetml/2009/9/main" objectType="Radio" lockText="1"/>
</file>

<file path=xl/ctrlProps/ctrlProp64.xml><?xml version="1.0" encoding="utf-8"?>
<formControlPr xmlns="http://schemas.microsoft.com/office/spreadsheetml/2009/9/main" objectType="Radio" lockText="1"/>
</file>

<file path=xl/ctrlProps/ctrlProp65.xml><?xml version="1.0" encoding="utf-8"?>
<formControlPr xmlns="http://schemas.microsoft.com/office/spreadsheetml/2009/9/main" objectType="Radio" lockText="1"/>
</file>

<file path=xl/ctrlProps/ctrlProp66.xml><?xml version="1.0" encoding="utf-8"?>
<formControlPr xmlns="http://schemas.microsoft.com/office/spreadsheetml/2009/9/main" objectType="Radio" lockText="1"/>
</file>

<file path=xl/ctrlProps/ctrlProp67.xml><?xml version="1.0" encoding="utf-8"?>
<formControlPr xmlns="http://schemas.microsoft.com/office/spreadsheetml/2009/9/main" objectType="GBox"/>
</file>

<file path=xl/ctrlProps/ctrlProp68.xml><?xml version="1.0" encoding="utf-8"?>
<formControlPr xmlns="http://schemas.microsoft.com/office/spreadsheetml/2009/9/main" objectType="Radio" firstButton="1" fmlaLink="Consolida_PE!$H$14" lockText="1"/>
</file>

<file path=xl/ctrlProps/ctrlProp69.xml><?xml version="1.0" encoding="utf-8"?>
<formControlPr xmlns="http://schemas.microsoft.com/office/spreadsheetml/2009/9/main" objectType="Radio" lockText="1"/>
</file>

<file path=xl/ctrlProps/ctrlProp70.xml><?xml version="1.0" encoding="utf-8"?>
<formControlPr xmlns="http://schemas.microsoft.com/office/spreadsheetml/2009/9/main" objectType="Radio" lockText="1"/>
</file>

<file path=xl/ctrlProps/ctrlProp71.xml><?xml version="1.0" encoding="utf-8"?>
<formControlPr xmlns="http://schemas.microsoft.com/office/spreadsheetml/2009/9/main" objectType="Radio" lockText="1"/>
</file>

<file path=xl/ctrlProps/ctrlProp72.xml><?xml version="1.0" encoding="utf-8"?>
<formControlPr xmlns="http://schemas.microsoft.com/office/spreadsheetml/2009/9/main" objectType="Radio" lockText="1"/>
</file>

<file path=xl/ctrlProps/ctrlProp73.xml><?xml version="1.0" encoding="utf-8"?>
<formControlPr xmlns="http://schemas.microsoft.com/office/spreadsheetml/2009/9/main" objectType="GBox"/>
</file>

<file path=xl/ctrlProps/ctrlProp74.xml><?xml version="1.0" encoding="utf-8"?>
<formControlPr xmlns="http://schemas.microsoft.com/office/spreadsheetml/2009/9/main" objectType="Radio" firstButton="1" fmlaLink="Consolida_PE!$H$15" lockText="1"/>
</file>

<file path=xl/ctrlProps/ctrlProp75.xml><?xml version="1.0" encoding="utf-8"?>
<formControlPr xmlns="http://schemas.microsoft.com/office/spreadsheetml/2009/9/main" objectType="Radio" lockText="1"/>
</file>

<file path=xl/ctrlProps/ctrlProp76.xml><?xml version="1.0" encoding="utf-8"?>
<formControlPr xmlns="http://schemas.microsoft.com/office/spreadsheetml/2009/9/main" objectType="Radio" lockText="1"/>
</file>

<file path=xl/ctrlProps/ctrlProp77.xml><?xml version="1.0" encoding="utf-8"?>
<formControlPr xmlns="http://schemas.microsoft.com/office/spreadsheetml/2009/9/main" objectType="Radio" lockText="1"/>
</file>

<file path=xl/ctrlProps/ctrlProp78.xml><?xml version="1.0" encoding="utf-8"?>
<formControlPr xmlns="http://schemas.microsoft.com/office/spreadsheetml/2009/9/main" objectType="Radio" lockText="1"/>
</file>

<file path=xl/ctrlProps/ctrlProp79.xml><?xml version="1.0" encoding="utf-8"?>
<formControlPr xmlns="http://schemas.microsoft.com/office/spreadsheetml/2009/9/main" objectType="GBox"/>
</file>

<file path=xl/ctrlProps/ctrlProp80.xml><?xml version="1.0" encoding="utf-8"?>
<formControlPr xmlns="http://schemas.microsoft.com/office/spreadsheetml/2009/9/main" objectType="Radio" firstButton="1" fmlaLink="Consolida_PE!$H$16" lockText="1"/>
</file>

<file path=xl/ctrlProps/ctrlProp81.xml><?xml version="1.0" encoding="utf-8"?>
<formControlPr xmlns="http://schemas.microsoft.com/office/spreadsheetml/2009/9/main" objectType="Radio" lockText="1"/>
</file>

<file path=xl/ctrlProps/ctrlProp82.xml><?xml version="1.0" encoding="utf-8"?>
<formControlPr xmlns="http://schemas.microsoft.com/office/spreadsheetml/2009/9/main" objectType="Radio" lockText="1"/>
</file>

<file path=xl/ctrlProps/ctrlProp83.xml><?xml version="1.0" encoding="utf-8"?>
<formControlPr xmlns="http://schemas.microsoft.com/office/spreadsheetml/2009/9/main" objectType="Radio" lockText="1"/>
</file>

<file path=xl/ctrlProps/ctrlProp84.xml><?xml version="1.0" encoding="utf-8"?>
<formControlPr xmlns="http://schemas.microsoft.com/office/spreadsheetml/2009/9/main" objectType="Radio" lockText="1"/>
</file>

<file path=xl/ctrlProps/ctrlProp85.xml><?xml version="1.0" encoding="utf-8"?>
<formControlPr xmlns="http://schemas.microsoft.com/office/spreadsheetml/2009/9/main" objectType="GBox"/>
</file>

<file path=xl/ctrlProps/ctrlProp86.xml><?xml version="1.0" encoding="utf-8"?>
<formControlPr xmlns="http://schemas.microsoft.com/office/spreadsheetml/2009/9/main" objectType="Radio" firstButton="1" fmlaLink="Consolida_PE!$H$17" lockText="1"/>
</file>

<file path=xl/ctrlProps/ctrlProp87.xml><?xml version="1.0" encoding="utf-8"?>
<formControlPr xmlns="http://schemas.microsoft.com/office/spreadsheetml/2009/9/main" objectType="Radio" lockText="1"/>
</file>

<file path=xl/ctrlProps/ctrlProp88.xml><?xml version="1.0" encoding="utf-8"?>
<formControlPr xmlns="http://schemas.microsoft.com/office/spreadsheetml/2009/9/main" objectType="Radio" lockText="1"/>
</file>

<file path=xl/ctrlProps/ctrlProp89.xml><?xml version="1.0" encoding="utf-8"?>
<formControlPr xmlns="http://schemas.microsoft.com/office/spreadsheetml/2009/9/main" objectType="Radio" lockText="1"/>
</file>

<file path=xl/ctrlProps/ctrlProp90.xml><?xml version="1.0" encoding="utf-8"?>
<formControlPr xmlns="http://schemas.microsoft.com/office/spreadsheetml/2009/9/main" objectType="Radio" lockText="1"/>
</file>

<file path=xl/ctrlProps/ctrlProp91.xml><?xml version="1.0" encoding="utf-8"?>
<formControlPr xmlns="http://schemas.microsoft.com/office/spreadsheetml/2009/9/main" objectType="GBox"/>
</file>

<file path=xl/ctrlProps/ctrlProp92.xml><?xml version="1.0" encoding="utf-8"?>
<formControlPr xmlns="http://schemas.microsoft.com/office/spreadsheetml/2009/9/main" objectType="Radio" firstButton="1" fmlaLink="Consolida_PE!$H$18" lockText="1"/>
</file>

<file path=xl/ctrlProps/ctrlProp93.xml><?xml version="1.0" encoding="utf-8"?>
<formControlPr xmlns="http://schemas.microsoft.com/office/spreadsheetml/2009/9/main" objectType="Radio" lockText="1"/>
</file>

<file path=xl/ctrlProps/ctrlProp94.xml><?xml version="1.0" encoding="utf-8"?>
<formControlPr xmlns="http://schemas.microsoft.com/office/spreadsheetml/2009/9/main" objectType="Radio" lockText="1"/>
</file>

<file path=xl/ctrlProps/ctrlProp95.xml><?xml version="1.0" encoding="utf-8"?>
<formControlPr xmlns="http://schemas.microsoft.com/office/spreadsheetml/2009/9/main" objectType="Radio" lockText="1"/>
</file>

<file path=xl/ctrlProps/ctrlProp96.xml><?xml version="1.0" encoding="utf-8"?>
<formControlPr xmlns="http://schemas.microsoft.com/office/spreadsheetml/2009/9/main" objectType="Radio" lockText="1"/>
</file>

<file path=xl/ctrlProps/ctrlProp97.xml><?xml version="1.0" encoding="utf-8"?>
<formControlPr xmlns="http://schemas.microsoft.com/office/spreadsheetml/2009/9/main" objectType="GBox"/>
</file>

<file path=xl/ctrlProps/ctrlProp98.xml><?xml version="1.0" encoding="utf-8"?>
<formControlPr xmlns="http://schemas.microsoft.com/office/spreadsheetml/2009/9/main" objectType="Radio" firstButton="1" fmlaLink="Consolida_PE!$H$19" lockText="1"/>
</file>

<file path=xl/ctrlProps/ctrlProp99.xml><?xml version="1.0" encoding="utf-8"?>
<formControlPr xmlns="http://schemas.microsoft.com/office/spreadsheetml/2009/9/main" objectType="Radio" lockText="1"/>
</file>

<file path=xl/ctrlProps/ctrlProp100.xml><?xml version="1.0" encoding="utf-8"?>
<formControlPr xmlns="http://schemas.microsoft.com/office/spreadsheetml/2009/9/main" objectType="Radio" lockText="1"/>
</file>

<file path=xl/ctrlProps/ctrlProp101.xml><?xml version="1.0" encoding="utf-8"?>
<formControlPr xmlns="http://schemas.microsoft.com/office/spreadsheetml/2009/9/main" objectType="Radio" lockText="1"/>
</file>

<file path=xl/ctrlProps/ctrlProp102.xml><?xml version="1.0" encoding="utf-8"?>
<formControlPr xmlns="http://schemas.microsoft.com/office/spreadsheetml/2009/9/main" objectType="Radio" lockText="1"/>
</file>

<file path=xl/ctrlProps/ctrlProp103.xml><?xml version="1.0" encoding="utf-8"?>
<formControlPr xmlns="http://schemas.microsoft.com/office/spreadsheetml/2009/9/main" objectType="GBox"/>
</file>

<file path=xl/ctrlProps/ctrlProp104.xml><?xml version="1.0" encoding="utf-8"?>
<formControlPr xmlns="http://schemas.microsoft.com/office/spreadsheetml/2009/9/main" objectType="Radio" firstButton="1" fmlaLink="Consolida_PE!$H$20" lockText="1"/>
</file>

<file path=xl/ctrlProps/ctrlProp105.xml><?xml version="1.0" encoding="utf-8"?>
<formControlPr xmlns="http://schemas.microsoft.com/office/spreadsheetml/2009/9/main" objectType="Radio" lockText="1"/>
</file>

<file path=xl/ctrlProps/ctrlProp106.xml><?xml version="1.0" encoding="utf-8"?>
<formControlPr xmlns="http://schemas.microsoft.com/office/spreadsheetml/2009/9/main" objectType="Radio" lockText="1"/>
</file>

<file path=xl/ctrlProps/ctrlProp107.xml><?xml version="1.0" encoding="utf-8"?>
<formControlPr xmlns="http://schemas.microsoft.com/office/spreadsheetml/2009/9/main" objectType="Radio" lockText="1"/>
</file>

<file path=xl/ctrlProps/ctrlProp108.xml><?xml version="1.0" encoding="utf-8"?>
<formControlPr xmlns="http://schemas.microsoft.com/office/spreadsheetml/2009/9/main" objectType="Radio" lockText="1"/>
</file>

<file path=xl/ctrlProps/ctrlProp109.xml><?xml version="1.0" encoding="utf-8"?>
<formControlPr xmlns="http://schemas.microsoft.com/office/spreadsheetml/2009/9/main" objectType="GBox"/>
</file>

<file path=xl/ctrlProps/ctrlProp110.xml><?xml version="1.0" encoding="utf-8"?>
<formControlPr xmlns="http://schemas.microsoft.com/office/spreadsheetml/2009/9/main" objectType="Radio" firstButton="1" fmlaLink="Consolida_PE!$H$21" lockText="1"/>
</file>

<file path=xl/ctrlProps/ctrlProp111.xml><?xml version="1.0" encoding="utf-8"?>
<formControlPr xmlns="http://schemas.microsoft.com/office/spreadsheetml/2009/9/main" objectType="Radio" lockText="1"/>
</file>

<file path=xl/ctrlProps/ctrlProp112.xml><?xml version="1.0" encoding="utf-8"?>
<formControlPr xmlns="http://schemas.microsoft.com/office/spreadsheetml/2009/9/main" objectType="Radio" lockText="1"/>
</file>

<file path=xl/ctrlProps/ctrlProp113.xml><?xml version="1.0" encoding="utf-8"?>
<formControlPr xmlns="http://schemas.microsoft.com/office/spreadsheetml/2009/9/main" objectType="Radio" lockText="1"/>
</file>

<file path=xl/ctrlProps/ctrlProp114.xml><?xml version="1.0" encoding="utf-8"?>
<formControlPr xmlns="http://schemas.microsoft.com/office/spreadsheetml/2009/9/main" objectType="Radio" lockText="1"/>
</file>

<file path=xl/ctrlProps/ctrlProp115.xml><?xml version="1.0" encoding="utf-8"?>
<formControlPr xmlns="http://schemas.microsoft.com/office/spreadsheetml/2009/9/main" objectType="GBox"/>
</file>

<file path=xl/ctrlProps/ctrlProp116.xml><?xml version="1.0" encoding="utf-8"?>
<formControlPr xmlns="http://schemas.microsoft.com/office/spreadsheetml/2009/9/main" objectType="Radio" firstButton="1" fmlaLink="Consolida_PE!$H$22" lockText="1"/>
</file>

<file path=xl/ctrlProps/ctrlProp117.xml><?xml version="1.0" encoding="utf-8"?>
<formControlPr xmlns="http://schemas.microsoft.com/office/spreadsheetml/2009/9/main" objectType="Radio" lockText="1"/>
</file>

<file path=xl/ctrlProps/ctrlProp118.xml><?xml version="1.0" encoding="utf-8"?>
<formControlPr xmlns="http://schemas.microsoft.com/office/spreadsheetml/2009/9/main" objectType="Radio" lockText="1"/>
</file>

<file path=xl/ctrlProps/ctrlProp119.xml><?xml version="1.0" encoding="utf-8"?>
<formControlPr xmlns="http://schemas.microsoft.com/office/spreadsheetml/2009/9/main" objectType="Radio" lockText="1"/>
</file>

<file path=xl/ctrlProps/ctrlProp120.xml><?xml version="1.0" encoding="utf-8"?>
<formControlPr xmlns="http://schemas.microsoft.com/office/spreadsheetml/2009/9/main" objectType="Radio" lockText="1"/>
</file>

<file path=xl/ctrlProps/ctrlProp121.xml><?xml version="1.0" encoding="utf-8"?>
<formControlPr xmlns="http://schemas.microsoft.com/office/spreadsheetml/2009/9/main" objectType="GBox"/>
</file>

<file path=xl/ctrlProps/ctrlProp122.xml><?xml version="1.0" encoding="utf-8"?>
<formControlPr xmlns="http://schemas.microsoft.com/office/spreadsheetml/2009/9/main" objectType="Radio" firstButton="1" fmlaLink="Consolida_PE!$H$23" lockText="1"/>
</file>

<file path=xl/ctrlProps/ctrlProp123.xml><?xml version="1.0" encoding="utf-8"?>
<formControlPr xmlns="http://schemas.microsoft.com/office/spreadsheetml/2009/9/main" objectType="Radio" lockText="1"/>
</file>

<file path=xl/ctrlProps/ctrlProp124.xml><?xml version="1.0" encoding="utf-8"?>
<formControlPr xmlns="http://schemas.microsoft.com/office/spreadsheetml/2009/9/main" objectType="Radio" lockText="1"/>
</file>

<file path=xl/ctrlProps/ctrlProp125.xml><?xml version="1.0" encoding="utf-8"?>
<formControlPr xmlns="http://schemas.microsoft.com/office/spreadsheetml/2009/9/main" objectType="Radio" lockText="1"/>
</file>

<file path=xl/ctrlProps/ctrlProp126.xml><?xml version="1.0" encoding="utf-8"?>
<formControlPr xmlns="http://schemas.microsoft.com/office/spreadsheetml/2009/9/main" objectType="Radio" lockText="1"/>
</file>

<file path=xl/ctrlProps/ctrlProp127.xml><?xml version="1.0" encoding="utf-8"?>
<formControlPr xmlns="http://schemas.microsoft.com/office/spreadsheetml/2009/9/main" objectType="GBox"/>
</file>

<file path=xl/ctrlProps/ctrlProp128.xml><?xml version="1.0" encoding="utf-8"?>
<formControlPr xmlns="http://schemas.microsoft.com/office/spreadsheetml/2009/9/main" objectType="Radio" firstButton="1" fmlaLink="Consolida_PE!$H$24" lockText="1"/>
</file>

<file path=xl/ctrlProps/ctrlProp129.xml><?xml version="1.0" encoding="utf-8"?>
<formControlPr xmlns="http://schemas.microsoft.com/office/spreadsheetml/2009/9/main" objectType="Radio" lockText="1"/>
</file>

<file path=xl/ctrlProps/ctrlProp130.xml><?xml version="1.0" encoding="utf-8"?>
<formControlPr xmlns="http://schemas.microsoft.com/office/spreadsheetml/2009/9/main" objectType="Radio" lockText="1"/>
</file>

<file path=xl/ctrlProps/ctrlProp131.xml><?xml version="1.0" encoding="utf-8"?>
<formControlPr xmlns="http://schemas.microsoft.com/office/spreadsheetml/2009/9/main" objectType="Radio" lockText="1"/>
</file>

<file path=xl/ctrlProps/ctrlProp132.xml><?xml version="1.0" encoding="utf-8"?>
<formControlPr xmlns="http://schemas.microsoft.com/office/spreadsheetml/2009/9/main" objectType="Radio" lockText="1"/>
</file>

<file path=xl/ctrlProps/ctrlProp133.xml><?xml version="1.0" encoding="utf-8"?>
<formControlPr xmlns="http://schemas.microsoft.com/office/spreadsheetml/2009/9/main" objectType="GBox"/>
</file>

<file path=xl/ctrlProps/ctrlProp134.xml><?xml version="1.0" encoding="utf-8"?>
<formControlPr xmlns="http://schemas.microsoft.com/office/spreadsheetml/2009/9/main" objectType="Radio" firstButton="1" fmlaLink="Consolida_PE!$H$25" lockText="1"/>
</file>

<file path=xl/ctrlProps/ctrlProp135.xml><?xml version="1.0" encoding="utf-8"?>
<formControlPr xmlns="http://schemas.microsoft.com/office/spreadsheetml/2009/9/main" objectType="Radio" lockText="1"/>
</file>

<file path=xl/ctrlProps/ctrlProp136.xml><?xml version="1.0" encoding="utf-8"?>
<formControlPr xmlns="http://schemas.microsoft.com/office/spreadsheetml/2009/9/main" objectType="Radio" lockText="1"/>
</file>

<file path=xl/ctrlProps/ctrlProp137.xml><?xml version="1.0" encoding="utf-8"?>
<formControlPr xmlns="http://schemas.microsoft.com/office/spreadsheetml/2009/9/main" objectType="Radio" lockText="1"/>
</file>

<file path=xl/ctrlProps/ctrlProp138.xml><?xml version="1.0" encoding="utf-8"?>
<formControlPr xmlns="http://schemas.microsoft.com/office/spreadsheetml/2009/9/main" objectType="Radio" lockText="1"/>
</file>

<file path=xl/ctrlProps/ctrlProp139.xml><?xml version="1.0" encoding="utf-8"?>
<formControlPr xmlns="http://schemas.microsoft.com/office/spreadsheetml/2009/9/main" objectType="GBox"/>
</file>

<file path=xl/ctrlProps/ctrlProp140.xml><?xml version="1.0" encoding="utf-8"?>
<formControlPr xmlns="http://schemas.microsoft.com/office/spreadsheetml/2009/9/main" objectType="Radio" firstButton="1" fmlaLink="Consolida_PE!$H$26" lockText="1"/>
</file>

<file path=xl/ctrlProps/ctrlProp141.xml><?xml version="1.0" encoding="utf-8"?>
<formControlPr xmlns="http://schemas.microsoft.com/office/spreadsheetml/2009/9/main" objectType="Radio" lockText="1"/>
</file>

<file path=xl/ctrlProps/ctrlProp142.xml><?xml version="1.0" encoding="utf-8"?>
<formControlPr xmlns="http://schemas.microsoft.com/office/spreadsheetml/2009/9/main" objectType="Radio" lockText="1"/>
</file>

<file path=xl/ctrlProps/ctrlProp143.xml><?xml version="1.0" encoding="utf-8"?>
<formControlPr xmlns="http://schemas.microsoft.com/office/spreadsheetml/2009/9/main" objectType="Radio" lockText="1"/>
</file>

<file path=xl/ctrlProps/ctrlProp144.xml><?xml version="1.0" encoding="utf-8"?>
<formControlPr xmlns="http://schemas.microsoft.com/office/spreadsheetml/2009/9/main" objectType="Radio" lockText="1"/>
</file>

<file path=xl/ctrlProps/ctrlProp145.xml><?xml version="1.0" encoding="utf-8"?>
<formControlPr xmlns="http://schemas.microsoft.com/office/spreadsheetml/2009/9/main" objectType="GBox"/>
</file>

<file path=xl/ctrlProps/ctrlProp146.xml><?xml version="1.0" encoding="utf-8"?>
<formControlPr xmlns="http://schemas.microsoft.com/office/spreadsheetml/2009/9/main" objectType="Radio" firstButton="1" fmlaLink="Consolida_PE!$H$27" lockText="1"/>
</file>

<file path=xl/ctrlProps/ctrlProp147.xml><?xml version="1.0" encoding="utf-8"?>
<formControlPr xmlns="http://schemas.microsoft.com/office/spreadsheetml/2009/9/main" objectType="Radio" lockText="1"/>
</file>

<file path=xl/ctrlProps/ctrlProp148.xml><?xml version="1.0" encoding="utf-8"?>
<formControlPr xmlns="http://schemas.microsoft.com/office/spreadsheetml/2009/9/main" objectType="Radio" lockText="1"/>
</file>

<file path=xl/ctrlProps/ctrlProp149.xml><?xml version="1.0" encoding="utf-8"?>
<formControlPr xmlns="http://schemas.microsoft.com/office/spreadsheetml/2009/9/main" objectType="Radio" lockText="1"/>
</file>

<file path=xl/ctrlProps/ctrlProp150.xml><?xml version="1.0" encoding="utf-8"?>
<formControlPr xmlns="http://schemas.microsoft.com/office/spreadsheetml/2009/9/main" objectType="Radio" lockText="1"/>
</file>

<file path=xl/ctrlProps/ctrlProp151.xml><?xml version="1.0" encoding="utf-8"?>
<formControlPr xmlns="http://schemas.microsoft.com/office/spreadsheetml/2009/9/main" objectType="GBox"/>
</file>

<file path=xl/ctrlProps/ctrlProp152.xml><?xml version="1.0" encoding="utf-8"?>
<formControlPr xmlns="http://schemas.microsoft.com/office/spreadsheetml/2009/9/main" objectType="Radio" firstButton="1" fmlaLink="Consolida_PE!$H$28" lockText="1"/>
</file>

<file path=xl/ctrlProps/ctrlProp153.xml><?xml version="1.0" encoding="utf-8"?>
<formControlPr xmlns="http://schemas.microsoft.com/office/spreadsheetml/2009/9/main" objectType="Radio" lockText="1"/>
</file>

<file path=xl/ctrlProps/ctrlProp154.xml><?xml version="1.0" encoding="utf-8"?>
<formControlPr xmlns="http://schemas.microsoft.com/office/spreadsheetml/2009/9/main" objectType="Radio" lockText="1"/>
</file>

<file path=xl/ctrlProps/ctrlProp155.xml><?xml version="1.0" encoding="utf-8"?>
<formControlPr xmlns="http://schemas.microsoft.com/office/spreadsheetml/2009/9/main" objectType="Radio" lockText="1"/>
</file>

<file path=xl/ctrlProps/ctrlProp156.xml><?xml version="1.0" encoding="utf-8"?>
<formControlPr xmlns="http://schemas.microsoft.com/office/spreadsheetml/2009/9/main" objectType="Radio" lockText="1"/>
</file>

<file path=xl/ctrlProps/ctrlProp157.xml><?xml version="1.0" encoding="utf-8"?>
<formControlPr xmlns="http://schemas.microsoft.com/office/spreadsheetml/2009/9/main" objectType="GBox"/>
</file>

<file path=xl/ctrlProps/ctrlProp158.xml><?xml version="1.0" encoding="utf-8"?>
<formControlPr xmlns="http://schemas.microsoft.com/office/spreadsheetml/2009/9/main" objectType="Radio" firstButton="1" fmlaLink="Consolida_PE!$H$29" lockText="1"/>
</file>

<file path=xl/ctrlProps/ctrlProp159.xml><?xml version="1.0" encoding="utf-8"?>
<formControlPr xmlns="http://schemas.microsoft.com/office/spreadsheetml/2009/9/main" objectType="Radio" lockText="1"/>
</file>

<file path=xl/ctrlProps/ctrlProp160.xml><?xml version="1.0" encoding="utf-8"?>
<formControlPr xmlns="http://schemas.microsoft.com/office/spreadsheetml/2009/9/main" objectType="Radio" lockText="1"/>
</file>

<file path=xl/ctrlProps/ctrlProp161.xml><?xml version="1.0" encoding="utf-8"?>
<formControlPr xmlns="http://schemas.microsoft.com/office/spreadsheetml/2009/9/main" objectType="Radio" lockText="1"/>
</file>

<file path=xl/ctrlProps/ctrlProp162.xml><?xml version="1.0" encoding="utf-8"?>
<formControlPr xmlns="http://schemas.microsoft.com/office/spreadsheetml/2009/9/main" objectType="Radio" lockText="1"/>
</file>

<file path=xl/ctrlProps/ctrlProp163.xml><?xml version="1.0" encoding="utf-8"?>
<formControlPr xmlns="http://schemas.microsoft.com/office/spreadsheetml/2009/9/main" objectType="GBox"/>
</file>

<file path=xl/ctrlProps/ctrlProp164.xml><?xml version="1.0" encoding="utf-8"?>
<formControlPr xmlns="http://schemas.microsoft.com/office/spreadsheetml/2009/9/main" objectType="Radio" firstButton="1" fmlaLink="Consolida_PE!$H$30" lockText="1"/>
</file>

<file path=xl/ctrlProps/ctrlProp165.xml><?xml version="1.0" encoding="utf-8"?>
<formControlPr xmlns="http://schemas.microsoft.com/office/spreadsheetml/2009/9/main" objectType="Radio" lockText="1"/>
</file>

<file path=xl/ctrlProps/ctrlProp166.xml><?xml version="1.0" encoding="utf-8"?>
<formControlPr xmlns="http://schemas.microsoft.com/office/spreadsheetml/2009/9/main" objectType="Radio" lockText="1"/>
</file>

<file path=xl/ctrlProps/ctrlProp167.xml><?xml version="1.0" encoding="utf-8"?>
<formControlPr xmlns="http://schemas.microsoft.com/office/spreadsheetml/2009/9/main" objectType="Radio" lockText="1"/>
</file>

<file path=xl/ctrlProps/ctrlProp168.xml><?xml version="1.0" encoding="utf-8"?>
<formControlPr xmlns="http://schemas.microsoft.com/office/spreadsheetml/2009/9/main" objectType="Radio" lockText="1"/>
</file>

<file path=xl/ctrlProps/ctrlProp169.xml><?xml version="1.0" encoding="utf-8"?>
<formControlPr xmlns="http://schemas.microsoft.com/office/spreadsheetml/2009/9/main" objectType="GBox"/>
</file>

<file path=xl/ctrlProps/ctrlProp170.xml><?xml version="1.0" encoding="utf-8"?>
<formControlPr xmlns="http://schemas.microsoft.com/office/spreadsheetml/2009/9/main" objectType="Radio" firstButton="1" fmlaLink="Consolida_PE!$H$31" lockText="1"/>
</file>

<file path=xl/ctrlProps/ctrlProp171.xml><?xml version="1.0" encoding="utf-8"?>
<formControlPr xmlns="http://schemas.microsoft.com/office/spreadsheetml/2009/9/main" objectType="Radio" lockText="1"/>
</file>

<file path=xl/ctrlProps/ctrlProp172.xml><?xml version="1.0" encoding="utf-8"?>
<formControlPr xmlns="http://schemas.microsoft.com/office/spreadsheetml/2009/9/main" objectType="Radio" lockText="1"/>
</file>

<file path=xl/ctrlProps/ctrlProp173.xml><?xml version="1.0" encoding="utf-8"?>
<formControlPr xmlns="http://schemas.microsoft.com/office/spreadsheetml/2009/9/main" objectType="Radio" lockText="1"/>
</file>

<file path=xl/ctrlProps/ctrlProp174.xml><?xml version="1.0" encoding="utf-8"?>
<formControlPr xmlns="http://schemas.microsoft.com/office/spreadsheetml/2009/9/main" objectType="Radio" lockText="1"/>
</file>

<file path=xl/ctrlProps/ctrlProp175.xml><?xml version="1.0" encoding="utf-8"?>
<formControlPr xmlns="http://schemas.microsoft.com/office/spreadsheetml/2009/9/main" objectType="GBox"/>
</file>

<file path=xl/ctrlProps/ctrlProp176.xml><?xml version="1.0" encoding="utf-8"?>
<formControlPr xmlns="http://schemas.microsoft.com/office/spreadsheetml/2009/9/main" objectType="Radio" firstButton="1" fmlaLink="Consolida_PE!$H$32" lockText="1"/>
</file>

<file path=xl/ctrlProps/ctrlProp177.xml><?xml version="1.0" encoding="utf-8"?>
<formControlPr xmlns="http://schemas.microsoft.com/office/spreadsheetml/2009/9/main" objectType="Radio" lockText="1"/>
</file>

<file path=xl/ctrlProps/ctrlProp178.xml><?xml version="1.0" encoding="utf-8"?>
<formControlPr xmlns="http://schemas.microsoft.com/office/spreadsheetml/2009/9/main" objectType="Radio" lockText="1"/>
</file>

<file path=xl/ctrlProps/ctrlProp179.xml><?xml version="1.0" encoding="utf-8"?>
<formControlPr xmlns="http://schemas.microsoft.com/office/spreadsheetml/2009/9/main" objectType="Radio" lockText="1"/>
</file>

<file path=xl/ctrlProps/ctrlProp180.xml><?xml version="1.0" encoding="utf-8"?>
<formControlPr xmlns="http://schemas.microsoft.com/office/spreadsheetml/2009/9/main" objectType="Radio" lockText="1"/>
</file>

<file path=xl/ctrlProps/ctrlProp181.xml><?xml version="1.0" encoding="utf-8"?>
<formControlPr xmlns="http://schemas.microsoft.com/office/spreadsheetml/2009/9/main" objectType="GBox"/>
</file>

<file path=xl/ctrlProps/ctrlProp182.xml><?xml version="1.0" encoding="utf-8"?>
<formControlPr xmlns="http://schemas.microsoft.com/office/spreadsheetml/2009/9/main" objectType="Radio" firstButton="1" fmlaLink="Consolida_PE!$I$3" lockText="1"/>
</file>

<file path=xl/ctrlProps/ctrlProp183.xml><?xml version="1.0" encoding="utf-8"?>
<formControlPr xmlns="http://schemas.microsoft.com/office/spreadsheetml/2009/9/main" objectType="Radio" lockText="1"/>
</file>

<file path=xl/ctrlProps/ctrlProp184.xml><?xml version="1.0" encoding="utf-8"?>
<formControlPr xmlns="http://schemas.microsoft.com/office/spreadsheetml/2009/9/main" objectType="Radio" lockText="1"/>
</file>

<file path=xl/ctrlProps/ctrlProp185.xml><?xml version="1.0" encoding="utf-8"?>
<formControlPr xmlns="http://schemas.microsoft.com/office/spreadsheetml/2009/9/main" objectType="Radio" lockText="1"/>
</file>

<file path=xl/ctrlProps/ctrlProp186.xml><?xml version="1.0" encoding="utf-8"?>
<formControlPr xmlns="http://schemas.microsoft.com/office/spreadsheetml/2009/9/main" objectType="Radio" lockText="1"/>
</file>

<file path=xl/ctrlProps/ctrlProp187.xml><?xml version="1.0" encoding="utf-8"?>
<formControlPr xmlns="http://schemas.microsoft.com/office/spreadsheetml/2009/9/main" objectType="GBox"/>
</file>

<file path=xl/ctrlProps/ctrlProp188.xml><?xml version="1.0" encoding="utf-8"?>
<formControlPr xmlns="http://schemas.microsoft.com/office/spreadsheetml/2009/9/main" objectType="Radio" firstButton="1" fmlaLink="Consolida_PE!$I$4" lockText="1"/>
</file>

<file path=xl/ctrlProps/ctrlProp189.xml><?xml version="1.0" encoding="utf-8"?>
<formControlPr xmlns="http://schemas.microsoft.com/office/spreadsheetml/2009/9/main" objectType="Radio" lockText="1"/>
</file>

<file path=xl/ctrlProps/ctrlProp190.xml><?xml version="1.0" encoding="utf-8"?>
<formControlPr xmlns="http://schemas.microsoft.com/office/spreadsheetml/2009/9/main" objectType="Radio" lockText="1"/>
</file>

<file path=xl/ctrlProps/ctrlProp191.xml><?xml version="1.0" encoding="utf-8"?>
<formControlPr xmlns="http://schemas.microsoft.com/office/spreadsheetml/2009/9/main" objectType="Radio" lockText="1"/>
</file>

<file path=xl/ctrlProps/ctrlProp192.xml><?xml version="1.0" encoding="utf-8"?>
<formControlPr xmlns="http://schemas.microsoft.com/office/spreadsheetml/2009/9/main" objectType="Radio" lockText="1"/>
</file>

<file path=xl/ctrlProps/ctrlProp193.xml><?xml version="1.0" encoding="utf-8"?>
<formControlPr xmlns="http://schemas.microsoft.com/office/spreadsheetml/2009/9/main" objectType="GBox"/>
</file>

<file path=xl/ctrlProps/ctrlProp194.xml><?xml version="1.0" encoding="utf-8"?>
<formControlPr xmlns="http://schemas.microsoft.com/office/spreadsheetml/2009/9/main" objectType="Radio" firstButton="1" fmlaLink="Consolida_PE!$I$5" lockText="1"/>
</file>

<file path=xl/ctrlProps/ctrlProp195.xml><?xml version="1.0" encoding="utf-8"?>
<formControlPr xmlns="http://schemas.microsoft.com/office/spreadsheetml/2009/9/main" objectType="Radio" lockText="1"/>
</file>

<file path=xl/ctrlProps/ctrlProp196.xml><?xml version="1.0" encoding="utf-8"?>
<formControlPr xmlns="http://schemas.microsoft.com/office/spreadsheetml/2009/9/main" objectType="Radio" lockText="1"/>
</file>

<file path=xl/ctrlProps/ctrlProp197.xml><?xml version="1.0" encoding="utf-8"?>
<formControlPr xmlns="http://schemas.microsoft.com/office/spreadsheetml/2009/9/main" objectType="Radio" lockText="1"/>
</file>

<file path=xl/ctrlProps/ctrlProp198.xml><?xml version="1.0" encoding="utf-8"?>
<formControlPr xmlns="http://schemas.microsoft.com/office/spreadsheetml/2009/9/main" objectType="Radio" lockText="1"/>
</file>

<file path=xl/ctrlProps/ctrlProp199.xml><?xml version="1.0" encoding="utf-8"?>
<formControlPr xmlns="http://schemas.microsoft.com/office/spreadsheetml/2009/9/main" objectType="GBox"/>
</file>

<file path=xl/ctrlProps/ctrlProp200.xml><?xml version="1.0" encoding="utf-8"?>
<formControlPr xmlns="http://schemas.microsoft.com/office/spreadsheetml/2009/9/main" objectType="Radio" firstButton="1" fmlaLink="Consolida_PE!$I$6" lockText="1"/>
</file>

<file path=xl/ctrlProps/ctrlProp201.xml><?xml version="1.0" encoding="utf-8"?>
<formControlPr xmlns="http://schemas.microsoft.com/office/spreadsheetml/2009/9/main" objectType="Radio" lockText="1"/>
</file>

<file path=xl/ctrlProps/ctrlProp202.xml><?xml version="1.0" encoding="utf-8"?>
<formControlPr xmlns="http://schemas.microsoft.com/office/spreadsheetml/2009/9/main" objectType="Radio" lockText="1"/>
</file>

<file path=xl/ctrlProps/ctrlProp203.xml><?xml version="1.0" encoding="utf-8"?>
<formControlPr xmlns="http://schemas.microsoft.com/office/spreadsheetml/2009/9/main" objectType="Radio" lockText="1"/>
</file>

<file path=xl/ctrlProps/ctrlProp204.xml><?xml version="1.0" encoding="utf-8"?>
<formControlPr xmlns="http://schemas.microsoft.com/office/spreadsheetml/2009/9/main" objectType="Radio" lockText="1"/>
</file>

<file path=xl/ctrlProps/ctrlProp205.xml><?xml version="1.0" encoding="utf-8"?>
<formControlPr xmlns="http://schemas.microsoft.com/office/spreadsheetml/2009/9/main" objectType="GBox"/>
</file>

<file path=xl/ctrlProps/ctrlProp206.xml><?xml version="1.0" encoding="utf-8"?>
<formControlPr xmlns="http://schemas.microsoft.com/office/spreadsheetml/2009/9/main" objectType="Radio" firstButton="1" fmlaLink="Consolida_PE!$I$7" lockText="1"/>
</file>

<file path=xl/ctrlProps/ctrlProp207.xml><?xml version="1.0" encoding="utf-8"?>
<formControlPr xmlns="http://schemas.microsoft.com/office/spreadsheetml/2009/9/main" objectType="Radio" lockText="1"/>
</file>

<file path=xl/ctrlProps/ctrlProp208.xml><?xml version="1.0" encoding="utf-8"?>
<formControlPr xmlns="http://schemas.microsoft.com/office/spreadsheetml/2009/9/main" objectType="Radio" lockText="1"/>
</file>

<file path=xl/ctrlProps/ctrlProp209.xml><?xml version="1.0" encoding="utf-8"?>
<formControlPr xmlns="http://schemas.microsoft.com/office/spreadsheetml/2009/9/main" objectType="Radio" lockText="1"/>
</file>

<file path=xl/ctrlProps/ctrlProp210.xml><?xml version="1.0" encoding="utf-8"?>
<formControlPr xmlns="http://schemas.microsoft.com/office/spreadsheetml/2009/9/main" objectType="Radio" lockText="1"/>
</file>

<file path=xl/ctrlProps/ctrlProp211.xml><?xml version="1.0" encoding="utf-8"?>
<formControlPr xmlns="http://schemas.microsoft.com/office/spreadsheetml/2009/9/main" objectType="GBox"/>
</file>

<file path=xl/ctrlProps/ctrlProp212.xml><?xml version="1.0" encoding="utf-8"?>
<formControlPr xmlns="http://schemas.microsoft.com/office/spreadsheetml/2009/9/main" objectType="Radio" firstButton="1" fmlaLink="Consolida_PE!$I$8" lockText="1"/>
</file>

<file path=xl/ctrlProps/ctrlProp213.xml><?xml version="1.0" encoding="utf-8"?>
<formControlPr xmlns="http://schemas.microsoft.com/office/spreadsheetml/2009/9/main" objectType="Radio" lockText="1"/>
</file>

<file path=xl/ctrlProps/ctrlProp214.xml><?xml version="1.0" encoding="utf-8"?>
<formControlPr xmlns="http://schemas.microsoft.com/office/spreadsheetml/2009/9/main" objectType="Radio" lockText="1"/>
</file>

<file path=xl/ctrlProps/ctrlProp215.xml><?xml version="1.0" encoding="utf-8"?>
<formControlPr xmlns="http://schemas.microsoft.com/office/spreadsheetml/2009/9/main" objectType="Radio" lockText="1"/>
</file>

<file path=xl/ctrlProps/ctrlProp216.xml><?xml version="1.0" encoding="utf-8"?>
<formControlPr xmlns="http://schemas.microsoft.com/office/spreadsheetml/2009/9/main" objectType="Radio" lockText="1"/>
</file>

<file path=xl/ctrlProps/ctrlProp217.xml><?xml version="1.0" encoding="utf-8"?>
<formControlPr xmlns="http://schemas.microsoft.com/office/spreadsheetml/2009/9/main" objectType="GBox"/>
</file>

<file path=xl/ctrlProps/ctrlProp218.xml><?xml version="1.0" encoding="utf-8"?>
<formControlPr xmlns="http://schemas.microsoft.com/office/spreadsheetml/2009/9/main" objectType="Radio" firstButton="1" fmlaLink="Consolida_PE!$I$9" lockText="1"/>
</file>

<file path=xl/ctrlProps/ctrlProp219.xml><?xml version="1.0" encoding="utf-8"?>
<formControlPr xmlns="http://schemas.microsoft.com/office/spreadsheetml/2009/9/main" objectType="Radio" lockText="1"/>
</file>

<file path=xl/ctrlProps/ctrlProp220.xml><?xml version="1.0" encoding="utf-8"?>
<formControlPr xmlns="http://schemas.microsoft.com/office/spreadsheetml/2009/9/main" objectType="Radio" lockText="1"/>
</file>

<file path=xl/ctrlProps/ctrlProp221.xml><?xml version="1.0" encoding="utf-8"?>
<formControlPr xmlns="http://schemas.microsoft.com/office/spreadsheetml/2009/9/main" objectType="Radio" lockText="1"/>
</file>

<file path=xl/ctrlProps/ctrlProp222.xml><?xml version="1.0" encoding="utf-8"?>
<formControlPr xmlns="http://schemas.microsoft.com/office/spreadsheetml/2009/9/main" objectType="Radio" lockText="1"/>
</file>

<file path=xl/ctrlProps/ctrlProp223.xml><?xml version="1.0" encoding="utf-8"?>
<formControlPr xmlns="http://schemas.microsoft.com/office/spreadsheetml/2009/9/main" objectType="GBox"/>
</file>

<file path=xl/ctrlProps/ctrlProp224.xml><?xml version="1.0" encoding="utf-8"?>
<formControlPr xmlns="http://schemas.microsoft.com/office/spreadsheetml/2009/9/main" objectType="Radio" firstButton="1" fmlaLink="Consolida_PE!$I$10" lockText="1"/>
</file>

<file path=xl/ctrlProps/ctrlProp225.xml><?xml version="1.0" encoding="utf-8"?>
<formControlPr xmlns="http://schemas.microsoft.com/office/spreadsheetml/2009/9/main" objectType="Radio" lockText="1"/>
</file>

<file path=xl/ctrlProps/ctrlProp226.xml><?xml version="1.0" encoding="utf-8"?>
<formControlPr xmlns="http://schemas.microsoft.com/office/spreadsheetml/2009/9/main" objectType="Radio" lockText="1"/>
</file>

<file path=xl/ctrlProps/ctrlProp227.xml><?xml version="1.0" encoding="utf-8"?>
<formControlPr xmlns="http://schemas.microsoft.com/office/spreadsheetml/2009/9/main" objectType="Radio" lockText="1"/>
</file>

<file path=xl/ctrlProps/ctrlProp228.xml><?xml version="1.0" encoding="utf-8"?>
<formControlPr xmlns="http://schemas.microsoft.com/office/spreadsheetml/2009/9/main" objectType="Radio" lockText="1"/>
</file>

<file path=xl/ctrlProps/ctrlProp229.xml><?xml version="1.0" encoding="utf-8"?>
<formControlPr xmlns="http://schemas.microsoft.com/office/spreadsheetml/2009/9/main" objectType="GBox"/>
</file>

<file path=xl/ctrlProps/ctrlProp230.xml><?xml version="1.0" encoding="utf-8"?>
<formControlPr xmlns="http://schemas.microsoft.com/office/spreadsheetml/2009/9/main" objectType="Radio" firstButton="1" fmlaLink="Consolida_PE!$I$11" lockText="1"/>
</file>

<file path=xl/ctrlProps/ctrlProp231.xml><?xml version="1.0" encoding="utf-8"?>
<formControlPr xmlns="http://schemas.microsoft.com/office/spreadsheetml/2009/9/main" objectType="Radio" lockText="1"/>
</file>

<file path=xl/ctrlProps/ctrlProp232.xml><?xml version="1.0" encoding="utf-8"?>
<formControlPr xmlns="http://schemas.microsoft.com/office/spreadsheetml/2009/9/main" objectType="Radio" lockText="1"/>
</file>

<file path=xl/ctrlProps/ctrlProp233.xml><?xml version="1.0" encoding="utf-8"?>
<formControlPr xmlns="http://schemas.microsoft.com/office/spreadsheetml/2009/9/main" objectType="Radio" lockText="1"/>
</file>

<file path=xl/ctrlProps/ctrlProp234.xml><?xml version="1.0" encoding="utf-8"?>
<formControlPr xmlns="http://schemas.microsoft.com/office/spreadsheetml/2009/9/main" objectType="Radio" lockText="1"/>
</file>

<file path=xl/ctrlProps/ctrlProp235.xml><?xml version="1.0" encoding="utf-8"?>
<formControlPr xmlns="http://schemas.microsoft.com/office/spreadsheetml/2009/9/main" objectType="GBox"/>
</file>

<file path=xl/ctrlProps/ctrlProp236.xml><?xml version="1.0" encoding="utf-8"?>
<formControlPr xmlns="http://schemas.microsoft.com/office/spreadsheetml/2009/9/main" objectType="Radio" firstButton="1" fmlaLink="Consolida_PE!$I$12" lockText="1"/>
</file>

<file path=xl/ctrlProps/ctrlProp237.xml><?xml version="1.0" encoding="utf-8"?>
<formControlPr xmlns="http://schemas.microsoft.com/office/spreadsheetml/2009/9/main" objectType="Radio" lockText="1"/>
</file>

<file path=xl/ctrlProps/ctrlProp238.xml><?xml version="1.0" encoding="utf-8"?>
<formControlPr xmlns="http://schemas.microsoft.com/office/spreadsheetml/2009/9/main" objectType="Radio" lockText="1"/>
</file>

<file path=xl/ctrlProps/ctrlProp239.xml><?xml version="1.0" encoding="utf-8"?>
<formControlPr xmlns="http://schemas.microsoft.com/office/spreadsheetml/2009/9/main" objectType="Radio" lockText="1"/>
</file>

<file path=xl/ctrlProps/ctrlProp240.xml><?xml version="1.0" encoding="utf-8"?>
<formControlPr xmlns="http://schemas.microsoft.com/office/spreadsheetml/2009/9/main" objectType="Radio" lockText="1"/>
</file>

<file path=xl/ctrlProps/ctrlProp241.xml><?xml version="1.0" encoding="utf-8"?>
<formControlPr xmlns="http://schemas.microsoft.com/office/spreadsheetml/2009/9/main" objectType="GBox"/>
</file>

<file path=xl/ctrlProps/ctrlProp242.xml><?xml version="1.0" encoding="utf-8"?>
<formControlPr xmlns="http://schemas.microsoft.com/office/spreadsheetml/2009/9/main" objectType="Radio" firstButton="1" fmlaLink="Consolida_PE!$I$13" lockText="1"/>
</file>

<file path=xl/ctrlProps/ctrlProp243.xml><?xml version="1.0" encoding="utf-8"?>
<formControlPr xmlns="http://schemas.microsoft.com/office/spreadsheetml/2009/9/main" objectType="Radio" lockText="1"/>
</file>

<file path=xl/ctrlProps/ctrlProp244.xml><?xml version="1.0" encoding="utf-8"?>
<formControlPr xmlns="http://schemas.microsoft.com/office/spreadsheetml/2009/9/main" objectType="Radio" lockText="1"/>
</file>

<file path=xl/ctrlProps/ctrlProp245.xml><?xml version="1.0" encoding="utf-8"?>
<formControlPr xmlns="http://schemas.microsoft.com/office/spreadsheetml/2009/9/main" objectType="Radio" lockText="1"/>
</file>

<file path=xl/ctrlProps/ctrlProp246.xml><?xml version="1.0" encoding="utf-8"?>
<formControlPr xmlns="http://schemas.microsoft.com/office/spreadsheetml/2009/9/main" objectType="Radio" lockText="1"/>
</file>

<file path=xl/ctrlProps/ctrlProp247.xml><?xml version="1.0" encoding="utf-8"?>
<formControlPr xmlns="http://schemas.microsoft.com/office/spreadsheetml/2009/9/main" objectType="GBox"/>
</file>

<file path=xl/ctrlProps/ctrlProp248.xml><?xml version="1.0" encoding="utf-8"?>
<formControlPr xmlns="http://schemas.microsoft.com/office/spreadsheetml/2009/9/main" objectType="Radio" firstButton="1" fmlaLink="Consolida_PE!$I$14" lockText="1"/>
</file>

<file path=xl/ctrlProps/ctrlProp249.xml><?xml version="1.0" encoding="utf-8"?>
<formControlPr xmlns="http://schemas.microsoft.com/office/spreadsheetml/2009/9/main" objectType="Radio" lockText="1"/>
</file>

<file path=xl/ctrlProps/ctrlProp250.xml><?xml version="1.0" encoding="utf-8"?>
<formControlPr xmlns="http://schemas.microsoft.com/office/spreadsheetml/2009/9/main" objectType="Radio" lockText="1"/>
</file>

<file path=xl/ctrlProps/ctrlProp251.xml><?xml version="1.0" encoding="utf-8"?>
<formControlPr xmlns="http://schemas.microsoft.com/office/spreadsheetml/2009/9/main" objectType="Radio" lockText="1"/>
</file>

<file path=xl/ctrlProps/ctrlProp252.xml><?xml version="1.0" encoding="utf-8"?>
<formControlPr xmlns="http://schemas.microsoft.com/office/spreadsheetml/2009/9/main" objectType="Radio" lockText="1"/>
</file>

<file path=xl/ctrlProps/ctrlProp253.xml><?xml version="1.0" encoding="utf-8"?>
<formControlPr xmlns="http://schemas.microsoft.com/office/spreadsheetml/2009/9/main" objectType="GBox"/>
</file>

<file path=xl/ctrlProps/ctrlProp254.xml><?xml version="1.0" encoding="utf-8"?>
<formControlPr xmlns="http://schemas.microsoft.com/office/spreadsheetml/2009/9/main" objectType="Radio" firstButton="1" fmlaLink="Consolida_PE!$I$15" lockText="1"/>
</file>

<file path=xl/ctrlProps/ctrlProp255.xml><?xml version="1.0" encoding="utf-8"?>
<formControlPr xmlns="http://schemas.microsoft.com/office/spreadsheetml/2009/9/main" objectType="Radio" lockText="1"/>
</file>

<file path=xl/ctrlProps/ctrlProp256.xml><?xml version="1.0" encoding="utf-8"?>
<formControlPr xmlns="http://schemas.microsoft.com/office/spreadsheetml/2009/9/main" objectType="Radio" lockText="1"/>
</file>

<file path=xl/ctrlProps/ctrlProp257.xml><?xml version="1.0" encoding="utf-8"?>
<formControlPr xmlns="http://schemas.microsoft.com/office/spreadsheetml/2009/9/main" objectType="Radio" lockText="1"/>
</file>

<file path=xl/ctrlProps/ctrlProp258.xml><?xml version="1.0" encoding="utf-8"?>
<formControlPr xmlns="http://schemas.microsoft.com/office/spreadsheetml/2009/9/main" objectType="Radio" lockText="1"/>
</file>

<file path=xl/ctrlProps/ctrlProp259.xml><?xml version="1.0" encoding="utf-8"?>
<formControlPr xmlns="http://schemas.microsoft.com/office/spreadsheetml/2009/9/main" objectType="GBox"/>
</file>

<file path=xl/ctrlProps/ctrlProp260.xml><?xml version="1.0" encoding="utf-8"?>
<formControlPr xmlns="http://schemas.microsoft.com/office/spreadsheetml/2009/9/main" objectType="Radio" firstButton="1" fmlaLink="Consolida_PE!$I$16" lockText="1"/>
</file>

<file path=xl/ctrlProps/ctrlProp261.xml><?xml version="1.0" encoding="utf-8"?>
<formControlPr xmlns="http://schemas.microsoft.com/office/spreadsheetml/2009/9/main" objectType="Radio" lockText="1"/>
</file>

<file path=xl/ctrlProps/ctrlProp262.xml><?xml version="1.0" encoding="utf-8"?>
<formControlPr xmlns="http://schemas.microsoft.com/office/spreadsheetml/2009/9/main" objectType="Radio" lockText="1"/>
</file>

<file path=xl/ctrlProps/ctrlProp263.xml><?xml version="1.0" encoding="utf-8"?>
<formControlPr xmlns="http://schemas.microsoft.com/office/spreadsheetml/2009/9/main" objectType="Radio" lockText="1"/>
</file>

<file path=xl/ctrlProps/ctrlProp264.xml><?xml version="1.0" encoding="utf-8"?>
<formControlPr xmlns="http://schemas.microsoft.com/office/spreadsheetml/2009/9/main" objectType="Radio" lockText="1"/>
</file>

<file path=xl/ctrlProps/ctrlProp265.xml><?xml version="1.0" encoding="utf-8"?>
<formControlPr xmlns="http://schemas.microsoft.com/office/spreadsheetml/2009/9/main" objectType="GBox"/>
</file>

<file path=xl/ctrlProps/ctrlProp266.xml><?xml version="1.0" encoding="utf-8"?>
<formControlPr xmlns="http://schemas.microsoft.com/office/spreadsheetml/2009/9/main" objectType="Radio" firstButton="1" fmlaLink="Consolida_PE!$I$17" lockText="1"/>
</file>

<file path=xl/ctrlProps/ctrlProp267.xml><?xml version="1.0" encoding="utf-8"?>
<formControlPr xmlns="http://schemas.microsoft.com/office/spreadsheetml/2009/9/main" objectType="Radio" lockText="1"/>
</file>

<file path=xl/ctrlProps/ctrlProp268.xml><?xml version="1.0" encoding="utf-8"?>
<formControlPr xmlns="http://schemas.microsoft.com/office/spreadsheetml/2009/9/main" objectType="Radio" lockText="1"/>
</file>

<file path=xl/ctrlProps/ctrlProp269.xml><?xml version="1.0" encoding="utf-8"?>
<formControlPr xmlns="http://schemas.microsoft.com/office/spreadsheetml/2009/9/main" objectType="Radio" lockText="1"/>
</file>

<file path=xl/ctrlProps/ctrlProp270.xml><?xml version="1.0" encoding="utf-8"?>
<formControlPr xmlns="http://schemas.microsoft.com/office/spreadsheetml/2009/9/main" objectType="Radio" lockText="1"/>
</file>

<file path=xl/ctrlProps/ctrlProp271.xml><?xml version="1.0" encoding="utf-8"?>
<formControlPr xmlns="http://schemas.microsoft.com/office/spreadsheetml/2009/9/main" objectType="GBox"/>
</file>

<file path=xl/ctrlProps/ctrlProp272.xml><?xml version="1.0" encoding="utf-8"?>
<formControlPr xmlns="http://schemas.microsoft.com/office/spreadsheetml/2009/9/main" objectType="Radio" firstButton="1" fmlaLink="Consolida_PE!$I$18" lockText="1"/>
</file>

<file path=xl/ctrlProps/ctrlProp273.xml><?xml version="1.0" encoding="utf-8"?>
<formControlPr xmlns="http://schemas.microsoft.com/office/spreadsheetml/2009/9/main" objectType="Radio" lockText="1"/>
</file>

<file path=xl/ctrlProps/ctrlProp274.xml><?xml version="1.0" encoding="utf-8"?>
<formControlPr xmlns="http://schemas.microsoft.com/office/spreadsheetml/2009/9/main" objectType="Radio" lockText="1"/>
</file>

<file path=xl/ctrlProps/ctrlProp275.xml><?xml version="1.0" encoding="utf-8"?>
<formControlPr xmlns="http://schemas.microsoft.com/office/spreadsheetml/2009/9/main" objectType="Radio" lockText="1"/>
</file>

<file path=xl/ctrlProps/ctrlProp276.xml><?xml version="1.0" encoding="utf-8"?>
<formControlPr xmlns="http://schemas.microsoft.com/office/spreadsheetml/2009/9/main" objectType="Radio" lockText="1"/>
</file>

<file path=xl/ctrlProps/ctrlProp277.xml><?xml version="1.0" encoding="utf-8"?>
<formControlPr xmlns="http://schemas.microsoft.com/office/spreadsheetml/2009/9/main" objectType="GBox"/>
</file>

<file path=xl/ctrlProps/ctrlProp278.xml><?xml version="1.0" encoding="utf-8"?>
<formControlPr xmlns="http://schemas.microsoft.com/office/spreadsheetml/2009/9/main" objectType="Radio" firstButton="1" fmlaLink="Consolida_PE!$I$19" lockText="1"/>
</file>

<file path=xl/ctrlProps/ctrlProp279.xml><?xml version="1.0" encoding="utf-8"?>
<formControlPr xmlns="http://schemas.microsoft.com/office/spreadsheetml/2009/9/main" objectType="Radio" lockText="1"/>
</file>

<file path=xl/ctrlProps/ctrlProp280.xml><?xml version="1.0" encoding="utf-8"?>
<formControlPr xmlns="http://schemas.microsoft.com/office/spreadsheetml/2009/9/main" objectType="Radio" lockText="1"/>
</file>

<file path=xl/ctrlProps/ctrlProp281.xml><?xml version="1.0" encoding="utf-8"?>
<formControlPr xmlns="http://schemas.microsoft.com/office/spreadsheetml/2009/9/main" objectType="Radio" lockText="1"/>
</file>

<file path=xl/ctrlProps/ctrlProp282.xml><?xml version="1.0" encoding="utf-8"?>
<formControlPr xmlns="http://schemas.microsoft.com/office/spreadsheetml/2009/9/main" objectType="Radio" lockText="1"/>
</file>

<file path=xl/ctrlProps/ctrlProp283.xml><?xml version="1.0" encoding="utf-8"?>
<formControlPr xmlns="http://schemas.microsoft.com/office/spreadsheetml/2009/9/main" objectType="GBox"/>
</file>

<file path=xl/ctrlProps/ctrlProp284.xml><?xml version="1.0" encoding="utf-8"?>
<formControlPr xmlns="http://schemas.microsoft.com/office/spreadsheetml/2009/9/main" objectType="Radio" firstButton="1" fmlaLink="Consolida_PE!$I$20" lockText="1"/>
</file>

<file path=xl/ctrlProps/ctrlProp285.xml><?xml version="1.0" encoding="utf-8"?>
<formControlPr xmlns="http://schemas.microsoft.com/office/spreadsheetml/2009/9/main" objectType="Radio" lockText="1"/>
</file>

<file path=xl/ctrlProps/ctrlProp286.xml><?xml version="1.0" encoding="utf-8"?>
<formControlPr xmlns="http://schemas.microsoft.com/office/spreadsheetml/2009/9/main" objectType="Radio" lockText="1"/>
</file>

<file path=xl/ctrlProps/ctrlProp287.xml><?xml version="1.0" encoding="utf-8"?>
<formControlPr xmlns="http://schemas.microsoft.com/office/spreadsheetml/2009/9/main" objectType="Radio" lockText="1"/>
</file>

<file path=xl/ctrlProps/ctrlProp288.xml><?xml version="1.0" encoding="utf-8"?>
<formControlPr xmlns="http://schemas.microsoft.com/office/spreadsheetml/2009/9/main" objectType="Radio" lockText="1"/>
</file>

<file path=xl/ctrlProps/ctrlProp289.xml><?xml version="1.0" encoding="utf-8"?>
<formControlPr xmlns="http://schemas.microsoft.com/office/spreadsheetml/2009/9/main" objectType="GBox"/>
</file>

<file path=xl/ctrlProps/ctrlProp290.xml><?xml version="1.0" encoding="utf-8"?>
<formControlPr xmlns="http://schemas.microsoft.com/office/spreadsheetml/2009/9/main" objectType="Radio" firstButton="1" fmlaLink="Consolida_PE!$I$21" lockText="1"/>
</file>

<file path=xl/ctrlProps/ctrlProp291.xml><?xml version="1.0" encoding="utf-8"?>
<formControlPr xmlns="http://schemas.microsoft.com/office/spreadsheetml/2009/9/main" objectType="Radio" lockText="1"/>
</file>

<file path=xl/ctrlProps/ctrlProp292.xml><?xml version="1.0" encoding="utf-8"?>
<formControlPr xmlns="http://schemas.microsoft.com/office/spreadsheetml/2009/9/main" objectType="Radio" lockText="1"/>
</file>

<file path=xl/ctrlProps/ctrlProp293.xml><?xml version="1.0" encoding="utf-8"?>
<formControlPr xmlns="http://schemas.microsoft.com/office/spreadsheetml/2009/9/main" objectType="Radio" lockText="1"/>
</file>

<file path=xl/ctrlProps/ctrlProp294.xml><?xml version="1.0" encoding="utf-8"?>
<formControlPr xmlns="http://schemas.microsoft.com/office/spreadsheetml/2009/9/main" objectType="Radio" lockText="1"/>
</file>

<file path=xl/ctrlProps/ctrlProp295.xml><?xml version="1.0" encoding="utf-8"?>
<formControlPr xmlns="http://schemas.microsoft.com/office/spreadsheetml/2009/9/main" objectType="GBox"/>
</file>

<file path=xl/ctrlProps/ctrlProp296.xml><?xml version="1.0" encoding="utf-8"?>
<formControlPr xmlns="http://schemas.microsoft.com/office/spreadsheetml/2009/9/main" objectType="Radio" firstButton="1" fmlaLink="Consolida_PE!$I$22" lockText="1"/>
</file>

<file path=xl/ctrlProps/ctrlProp297.xml><?xml version="1.0" encoding="utf-8"?>
<formControlPr xmlns="http://schemas.microsoft.com/office/spreadsheetml/2009/9/main" objectType="Radio" lockText="1"/>
</file>

<file path=xl/ctrlProps/ctrlProp298.xml><?xml version="1.0" encoding="utf-8"?>
<formControlPr xmlns="http://schemas.microsoft.com/office/spreadsheetml/2009/9/main" objectType="Radio" lockText="1"/>
</file>

<file path=xl/ctrlProps/ctrlProp299.xml><?xml version="1.0" encoding="utf-8"?>
<formControlPr xmlns="http://schemas.microsoft.com/office/spreadsheetml/2009/9/main" objectType="Radio" lockText="1"/>
</file>

<file path=xl/ctrlProps/ctrlProp300.xml><?xml version="1.0" encoding="utf-8"?>
<formControlPr xmlns="http://schemas.microsoft.com/office/spreadsheetml/2009/9/main" objectType="Radio" lockText="1"/>
</file>

<file path=xl/ctrlProps/ctrlProp301.xml><?xml version="1.0" encoding="utf-8"?>
<formControlPr xmlns="http://schemas.microsoft.com/office/spreadsheetml/2009/9/main" objectType="GBox"/>
</file>

<file path=xl/ctrlProps/ctrlProp302.xml><?xml version="1.0" encoding="utf-8"?>
<formControlPr xmlns="http://schemas.microsoft.com/office/spreadsheetml/2009/9/main" objectType="Radio" firstButton="1" fmlaLink="Consolida_PE!$I$23" lockText="1"/>
</file>

<file path=xl/ctrlProps/ctrlProp303.xml><?xml version="1.0" encoding="utf-8"?>
<formControlPr xmlns="http://schemas.microsoft.com/office/spreadsheetml/2009/9/main" objectType="Radio" lockText="1"/>
</file>

<file path=xl/ctrlProps/ctrlProp304.xml><?xml version="1.0" encoding="utf-8"?>
<formControlPr xmlns="http://schemas.microsoft.com/office/spreadsheetml/2009/9/main" objectType="Radio" lockText="1"/>
</file>

<file path=xl/ctrlProps/ctrlProp305.xml><?xml version="1.0" encoding="utf-8"?>
<formControlPr xmlns="http://schemas.microsoft.com/office/spreadsheetml/2009/9/main" objectType="Radio" lockText="1"/>
</file>

<file path=xl/ctrlProps/ctrlProp306.xml><?xml version="1.0" encoding="utf-8"?>
<formControlPr xmlns="http://schemas.microsoft.com/office/spreadsheetml/2009/9/main" objectType="Radio" lockText="1"/>
</file>

<file path=xl/ctrlProps/ctrlProp307.xml><?xml version="1.0" encoding="utf-8"?>
<formControlPr xmlns="http://schemas.microsoft.com/office/spreadsheetml/2009/9/main" objectType="GBox"/>
</file>

<file path=xl/ctrlProps/ctrlProp308.xml><?xml version="1.0" encoding="utf-8"?>
<formControlPr xmlns="http://schemas.microsoft.com/office/spreadsheetml/2009/9/main" objectType="Radio" firstButton="1" fmlaLink="Consolida_PE!$I$24" lockText="1"/>
</file>

<file path=xl/ctrlProps/ctrlProp309.xml><?xml version="1.0" encoding="utf-8"?>
<formControlPr xmlns="http://schemas.microsoft.com/office/spreadsheetml/2009/9/main" objectType="Radio" lockText="1"/>
</file>

<file path=xl/ctrlProps/ctrlProp310.xml><?xml version="1.0" encoding="utf-8"?>
<formControlPr xmlns="http://schemas.microsoft.com/office/spreadsheetml/2009/9/main" objectType="Radio" lockText="1"/>
</file>

<file path=xl/ctrlProps/ctrlProp311.xml><?xml version="1.0" encoding="utf-8"?>
<formControlPr xmlns="http://schemas.microsoft.com/office/spreadsheetml/2009/9/main" objectType="Radio" lockText="1"/>
</file>

<file path=xl/ctrlProps/ctrlProp312.xml><?xml version="1.0" encoding="utf-8"?>
<formControlPr xmlns="http://schemas.microsoft.com/office/spreadsheetml/2009/9/main" objectType="Radio" lockText="1"/>
</file>

<file path=xl/ctrlProps/ctrlProp313.xml><?xml version="1.0" encoding="utf-8"?>
<formControlPr xmlns="http://schemas.microsoft.com/office/spreadsheetml/2009/9/main" objectType="GBox"/>
</file>

<file path=xl/ctrlProps/ctrlProp314.xml><?xml version="1.0" encoding="utf-8"?>
<formControlPr xmlns="http://schemas.microsoft.com/office/spreadsheetml/2009/9/main" objectType="Radio" firstButton="1" fmlaLink="Consolida_PE!$I$25" lockText="1"/>
</file>

<file path=xl/ctrlProps/ctrlProp315.xml><?xml version="1.0" encoding="utf-8"?>
<formControlPr xmlns="http://schemas.microsoft.com/office/spreadsheetml/2009/9/main" objectType="Radio" lockText="1"/>
</file>

<file path=xl/ctrlProps/ctrlProp316.xml><?xml version="1.0" encoding="utf-8"?>
<formControlPr xmlns="http://schemas.microsoft.com/office/spreadsheetml/2009/9/main" objectType="Radio" lockText="1"/>
</file>

<file path=xl/ctrlProps/ctrlProp317.xml><?xml version="1.0" encoding="utf-8"?>
<formControlPr xmlns="http://schemas.microsoft.com/office/spreadsheetml/2009/9/main" objectType="Radio" lockText="1"/>
</file>

<file path=xl/ctrlProps/ctrlProp318.xml><?xml version="1.0" encoding="utf-8"?>
<formControlPr xmlns="http://schemas.microsoft.com/office/spreadsheetml/2009/9/main" objectType="Radio" lockText="1"/>
</file>

<file path=xl/ctrlProps/ctrlProp319.xml><?xml version="1.0" encoding="utf-8"?>
<formControlPr xmlns="http://schemas.microsoft.com/office/spreadsheetml/2009/9/main" objectType="GBox"/>
</file>

<file path=xl/ctrlProps/ctrlProp320.xml><?xml version="1.0" encoding="utf-8"?>
<formControlPr xmlns="http://schemas.microsoft.com/office/spreadsheetml/2009/9/main" objectType="Radio" firstButton="1" fmlaLink="Consolida_PE!$I$26" lockText="1"/>
</file>

<file path=xl/ctrlProps/ctrlProp321.xml><?xml version="1.0" encoding="utf-8"?>
<formControlPr xmlns="http://schemas.microsoft.com/office/spreadsheetml/2009/9/main" objectType="Radio" lockText="1"/>
</file>

<file path=xl/ctrlProps/ctrlProp322.xml><?xml version="1.0" encoding="utf-8"?>
<formControlPr xmlns="http://schemas.microsoft.com/office/spreadsheetml/2009/9/main" objectType="Radio" lockText="1"/>
</file>

<file path=xl/ctrlProps/ctrlProp323.xml><?xml version="1.0" encoding="utf-8"?>
<formControlPr xmlns="http://schemas.microsoft.com/office/spreadsheetml/2009/9/main" objectType="Radio" lockText="1"/>
</file>

<file path=xl/ctrlProps/ctrlProp324.xml><?xml version="1.0" encoding="utf-8"?>
<formControlPr xmlns="http://schemas.microsoft.com/office/spreadsheetml/2009/9/main" objectType="Radio" lockText="1"/>
</file>

<file path=xl/ctrlProps/ctrlProp325.xml><?xml version="1.0" encoding="utf-8"?>
<formControlPr xmlns="http://schemas.microsoft.com/office/spreadsheetml/2009/9/main" objectType="GBox"/>
</file>

<file path=xl/ctrlProps/ctrlProp326.xml><?xml version="1.0" encoding="utf-8"?>
<formControlPr xmlns="http://schemas.microsoft.com/office/spreadsheetml/2009/9/main" objectType="Radio" firstButton="1" fmlaLink="Consolida_PE!$I$27" lockText="1"/>
</file>

<file path=xl/ctrlProps/ctrlProp327.xml><?xml version="1.0" encoding="utf-8"?>
<formControlPr xmlns="http://schemas.microsoft.com/office/spreadsheetml/2009/9/main" objectType="Radio" lockText="1"/>
</file>

<file path=xl/ctrlProps/ctrlProp328.xml><?xml version="1.0" encoding="utf-8"?>
<formControlPr xmlns="http://schemas.microsoft.com/office/spreadsheetml/2009/9/main" objectType="Radio" lockText="1"/>
</file>

<file path=xl/ctrlProps/ctrlProp329.xml><?xml version="1.0" encoding="utf-8"?>
<formControlPr xmlns="http://schemas.microsoft.com/office/spreadsheetml/2009/9/main" objectType="Radio" lockText="1"/>
</file>

<file path=xl/ctrlProps/ctrlProp330.xml><?xml version="1.0" encoding="utf-8"?>
<formControlPr xmlns="http://schemas.microsoft.com/office/spreadsheetml/2009/9/main" objectType="Radio" lockText="1"/>
</file>

<file path=xl/ctrlProps/ctrlProp331.xml><?xml version="1.0" encoding="utf-8"?>
<formControlPr xmlns="http://schemas.microsoft.com/office/spreadsheetml/2009/9/main" objectType="GBox"/>
</file>

<file path=xl/ctrlProps/ctrlProp332.xml><?xml version="1.0" encoding="utf-8"?>
<formControlPr xmlns="http://schemas.microsoft.com/office/spreadsheetml/2009/9/main" objectType="Radio" firstButton="1" fmlaLink="Consolida_PE!$I$28" lockText="1"/>
</file>

<file path=xl/ctrlProps/ctrlProp333.xml><?xml version="1.0" encoding="utf-8"?>
<formControlPr xmlns="http://schemas.microsoft.com/office/spreadsheetml/2009/9/main" objectType="Radio" lockText="1"/>
</file>

<file path=xl/ctrlProps/ctrlProp334.xml><?xml version="1.0" encoding="utf-8"?>
<formControlPr xmlns="http://schemas.microsoft.com/office/spreadsheetml/2009/9/main" objectType="Radio" lockText="1"/>
</file>

<file path=xl/ctrlProps/ctrlProp335.xml><?xml version="1.0" encoding="utf-8"?>
<formControlPr xmlns="http://schemas.microsoft.com/office/spreadsheetml/2009/9/main" objectType="Radio" lockText="1"/>
</file>

<file path=xl/ctrlProps/ctrlProp336.xml><?xml version="1.0" encoding="utf-8"?>
<formControlPr xmlns="http://schemas.microsoft.com/office/spreadsheetml/2009/9/main" objectType="Radio" lockText="1"/>
</file>

<file path=xl/ctrlProps/ctrlProp337.xml><?xml version="1.0" encoding="utf-8"?>
<formControlPr xmlns="http://schemas.microsoft.com/office/spreadsheetml/2009/9/main" objectType="GBox"/>
</file>

<file path=xl/ctrlProps/ctrlProp338.xml><?xml version="1.0" encoding="utf-8"?>
<formControlPr xmlns="http://schemas.microsoft.com/office/spreadsheetml/2009/9/main" objectType="Radio" firstButton="1" fmlaLink="Consolida_PE!$I$29" lockText="1"/>
</file>

<file path=xl/ctrlProps/ctrlProp339.xml><?xml version="1.0" encoding="utf-8"?>
<formControlPr xmlns="http://schemas.microsoft.com/office/spreadsheetml/2009/9/main" objectType="Radio" lockText="1"/>
</file>

<file path=xl/ctrlProps/ctrlProp340.xml><?xml version="1.0" encoding="utf-8"?>
<formControlPr xmlns="http://schemas.microsoft.com/office/spreadsheetml/2009/9/main" objectType="Radio" lockText="1"/>
</file>

<file path=xl/ctrlProps/ctrlProp341.xml><?xml version="1.0" encoding="utf-8"?>
<formControlPr xmlns="http://schemas.microsoft.com/office/spreadsheetml/2009/9/main" objectType="Radio" lockText="1"/>
</file>

<file path=xl/ctrlProps/ctrlProp342.xml><?xml version="1.0" encoding="utf-8"?>
<formControlPr xmlns="http://schemas.microsoft.com/office/spreadsheetml/2009/9/main" objectType="Radio" lockText="1"/>
</file>

<file path=xl/ctrlProps/ctrlProp343.xml><?xml version="1.0" encoding="utf-8"?>
<formControlPr xmlns="http://schemas.microsoft.com/office/spreadsheetml/2009/9/main" objectType="GBox"/>
</file>

<file path=xl/ctrlProps/ctrlProp344.xml><?xml version="1.0" encoding="utf-8"?>
<formControlPr xmlns="http://schemas.microsoft.com/office/spreadsheetml/2009/9/main" objectType="Radio" firstButton="1" fmlaLink="Consolida_PE!$I$30" lockText="1"/>
</file>

<file path=xl/ctrlProps/ctrlProp345.xml><?xml version="1.0" encoding="utf-8"?>
<formControlPr xmlns="http://schemas.microsoft.com/office/spreadsheetml/2009/9/main" objectType="Radio" lockText="1"/>
</file>

<file path=xl/ctrlProps/ctrlProp346.xml><?xml version="1.0" encoding="utf-8"?>
<formControlPr xmlns="http://schemas.microsoft.com/office/spreadsheetml/2009/9/main" objectType="Radio" lockText="1"/>
</file>

<file path=xl/ctrlProps/ctrlProp347.xml><?xml version="1.0" encoding="utf-8"?>
<formControlPr xmlns="http://schemas.microsoft.com/office/spreadsheetml/2009/9/main" objectType="Radio" lockText="1"/>
</file>

<file path=xl/ctrlProps/ctrlProp348.xml><?xml version="1.0" encoding="utf-8"?>
<formControlPr xmlns="http://schemas.microsoft.com/office/spreadsheetml/2009/9/main" objectType="Radio" lockText="1"/>
</file>

<file path=xl/ctrlProps/ctrlProp349.xml><?xml version="1.0" encoding="utf-8"?>
<formControlPr xmlns="http://schemas.microsoft.com/office/spreadsheetml/2009/9/main" objectType="GBox"/>
</file>

<file path=xl/ctrlProps/ctrlProp350.xml><?xml version="1.0" encoding="utf-8"?>
<formControlPr xmlns="http://schemas.microsoft.com/office/spreadsheetml/2009/9/main" objectType="Radio" firstButton="1" fmlaLink="Consolida_PE!$I$31" lockText="1"/>
</file>

<file path=xl/ctrlProps/ctrlProp351.xml><?xml version="1.0" encoding="utf-8"?>
<formControlPr xmlns="http://schemas.microsoft.com/office/spreadsheetml/2009/9/main" objectType="Radio" lockText="1"/>
</file>

<file path=xl/ctrlProps/ctrlProp352.xml><?xml version="1.0" encoding="utf-8"?>
<formControlPr xmlns="http://schemas.microsoft.com/office/spreadsheetml/2009/9/main" objectType="Radio" lockText="1"/>
</file>

<file path=xl/ctrlProps/ctrlProp353.xml><?xml version="1.0" encoding="utf-8"?>
<formControlPr xmlns="http://schemas.microsoft.com/office/spreadsheetml/2009/9/main" objectType="Radio" lockText="1"/>
</file>

<file path=xl/ctrlProps/ctrlProp354.xml><?xml version="1.0" encoding="utf-8"?>
<formControlPr xmlns="http://schemas.microsoft.com/office/spreadsheetml/2009/9/main" objectType="Radio" lockText="1"/>
</file>

<file path=xl/ctrlProps/ctrlProp355.xml><?xml version="1.0" encoding="utf-8"?>
<formControlPr xmlns="http://schemas.microsoft.com/office/spreadsheetml/2009/9/main" objectType="GBox"/>
</file>

<file path=xl/ctrlProps/ctrlProp356.xml><?xml version="1.0" encoding="utf-8"?>
<formControlPr xmlns="http://schemas.microsoft.com/office/spreadsheetml/2009/9/main" objectType="Radio" firstButton="1" fmlaLink="Consolida_PE!$I$32" lockText="1"/>
</file>

<file path=xl/ctrlProps/ctrlProp357.xml><?xml version="1.0" encoding="utf-8"?>
<formControlPr xmlns="http://schemas.microsoft.com/office/spreadsheetml/2009/9/main" objectType="Radio" lockText="1"/>
</file>

<file path=xl/ctrlProps/ctrlProp358.xml><?xml version="1.0" encoding="utf-8"?>
<formControlPr xmlns="http://schemas.microsoft.com/office/spreadsheetml/2009/9/main" objectType="Radio" lockText="1"/>
</file>

<file path=xl/ctrlProps/ctrlProp359.xml><?xml version="1.0" encoding="utf-8"?>
<formControlPr xmlns="http://schemas.microsoft.com/office/spreadsheetml/2009/9/main" objectType="Radio" lockText="1"/>
</file>

<file path=xl/ctrlProps/ctrlProp360.xml><?xml version="1.0" encoding="utf-8"?>
<formControlPr xmlns="http://schemas.microsoft.com/office/spreadsheetml/2009/9/main" objectType="Radio" lockText="1"/>
</file>

<file path=xl/ctrlProps/ctrlProp361.xml><?xml version="1.0" encoding="utf-8"?>
<formControlPr xmlns="http://schemas.microsoft.com/office/spreadsheetml/2009/9/main" objectType="GBox"/>
</file>

<file path=xl/ctrlProps/ctrlProp362.xml><?xml version="1.0" encoding="utf-8"?>
<formControlPr xmlns="http://schemas.microsoft.com/office/spreadsheetml/2009/9/main" objectType="Radio" firstButton="1" fmlaLink="Consolida_PE!$J$3" lockText="1"/>
</file>

<file path=xl/ctrlProps/ctrlProp363.xml><?xml version="1.0" encoding="utf-8"?>
<formControlPr xmlns="http://schemas.microsoft.com/office/spreadsheetml/2009/9/main" objectType="Radio" lockText="1"/>
</file>

<file path=xl/ctrlProps/ctrlProp364.xml><?xml version="1.0" encoding="utf-8"?>
<formControlPr xmlns="http://schemas.microsoft.com/office/spreadsheetml/2009/9/main" objectType="Radio" lockText="1"/>
</file>

<file path=xl/ctrlProps/ctrlProp365.xml><?xml version="1.0" encoding="utf-8"?>
<formControlPr xmlns="http://schemas.microsoft.com/office/spreadsheetml/2009/9/main" objectType="Radio" lockText="1"/>
</file>

<file path=xl/ctrlProps/ctrlProp366.xml><?xml version="1.0" encoding="utf-8"?>
<formControlPr xmlns="http://schemas.microsoft.com/office/spreadsheetml/2009/9/main" objectType="Radio" lockText="1"/>
</file>

<file path=xl/ctrlProps/ctrlProp367.xml><?xml version="1.0" encoding="utf-8"?>
<formControlPr xmlns="http://schemas.microsoft.com/office/spreadsheetml/2009/9/main" objectType="GBox"/>
</file>

<file path=xl/ctrlProps/ctrlProp368.xml><?xml version="1.0" encoding="utf-8"?>
<formControlPr xmlns="http://schemas.microsoft.com/office/spreadsheetml/2009/9/main" objectType="Radio" firstButton="1" fmlaLink="Consolida_PE!$J$4" lockText="1"/>
</file>

<file path=xl/ctrlProps/ctrlProp369.xml><?xml version="1.0" encoding="utf-8"?>
<formControlPr xmlns="http://schemas.microsoft.com/office/spreadsheetml/2009/9/main" objectType="Radio" lockText="1"/>
</file>

<file path=xl/ctrlProps/ctrlProp370.xml><?xml version="1.0" encoding="utf-8"?>
<formControlPr xmlns="http://schemas.microsoft.com/office/spreadsheetml/2009/9/main" objectType="Radio" lockText="1"/>
</file>

<file path=xl/ctrlProps/ctrlProp371.xml><?xml version="1.0" encoding="utf-8"?>
<formControlPr xmlns="http://schemas.microsoft.com/office/spreadsheetml/2009/9/main" objectType="Radio" lockText="1"/>
</file>

<file path=xl/ctrlProps/ctrlProp372.xml><?xml version="1.0" encoding="utf-8"?>
<formControlPr xmlns="http://schemas.microsoft.com/office/spreadsheetml/2009/9/main" objectType="Radio" lockText="1"/>
</file>

<file path=xl/ctrlProps/ctrlProp373.xml><?xml version="1.0" encoding="utf-8"?>
<formControlPr xmlns="http://schemas.microsoft.com/office/spreadsheetml/2009/9/main" objectType="GBox"/>
</file>

<file path=xl/ctrlProps/ctrlProp374.xml><?xml version="1.0" encoding="utf-8"?>
<formControlPr xmlns="http://schemas.microsoft.com/office/spreadsheetml/2009/9/main" objectType="Radio" firstButton="1" fmlaLink="Consolida_PE!$J$5" lockText="1"/>
</file>

<file path=xl/ctrlProps/ctrlProp375.xml><?xml version="1.0" encoding="utf-8"?>
<formControlPr xmlns="http://schemas.microsoft.com/office/spreadsheetml/2009/9/main" objectType="Radio" lockText="1"/>
</file>

<file path=xl/ctrlProps/ctrlProp376.xml><?xml version="1.0" encoding="utf-8"?>
<formControlPr xmlns="http://schemas.microsoft.com/office/spreadsheetml/2009/9/main" objectType="Radio" lockText="1"/>
</file>

<file path=xl/ctrlProps/ctrlProp377.xml><?xml version="1.0" encoding="utf-8"?>
<formControlPr xmlns="http://schemas.microsoft.com/office/spreadsheetml/2009/9/main" objectType="Radio" lockText="1"/>
</file>

<file path=xl/ctrlProps/ctrlProp378.xml><?xml version="1.0" encoding="utf-8"?>
<formControlPr xmlns="http://schemas.microsoft.com/office/spreadsheetml/2009/9/main" objectType="Radio" lockText="1"/>
</file>

<file path=xl/ctrlProps/ctrlProp379.xml><?xml version="1.0" encoding="utf-8"?>
<formControlPr xmlns="http://schemas.microsoft.com/office/spreadsheetml/2009/9/main" objectType="GBox"/>
</file>

<file path=xl/ctrlProps/ctrlProp380.xml><?xml version="1.0" encoding="utf-8"?>
<formControlPr xmlns="http://schemas.microsoft.com/office/spreadsheetml/2009/9/main" objectType="Radio" firstButton="1" fmlaLink="Consolida_PE!$J$6" lockText="1"/>
</file>

<file path=xl/ctrlProps/ctrlProp381.xml><?xml version="1.0" encoding="utf-8"?>
<formControlPr xmlns="http://schemas.microsoft.com/office/spreadsheetml/2009/9/main" objectType="Radio" lockText="1"/>
</file>

<file path=xl/ctrlProps/ctrlProp382.xml><?xml version="1.0" encoding="utf-8"?>
<formControlPr xmlns="http://schemas.microsoft.com/office/spreadsheetml/2009/9/main" objectType="Radio" lockText="1"/>
</file>

<file path=xl/ctrlProps/ctrlProp383.xml><?xml version="1.0" encoding="utf-8"?>
<formControlPr xmlns="http://schemas.microsoft.com/office/spreadsheetml/2009/9/main" objectType="Radio" lockText="1"/>
</file>

<file path=xl/ctrlProps/ctrlProp384.xml><?xml version="1.0" encoding="utf-8"?>
<formControlPr xmlns="http://schemas.microsoft.com/office/spreadsheetml/2009/9/main" objectType="Radio" lockText="1"/>
</file>

<file path=xl/ctrlProps/ctrlProp385.xml><?xml version="1.0" encoding="utf-8"?>
<formControlPr xmlns="http://schemas.microsoft.com/office/spreadsheetml/2009/9/main" objectType="GBox"/>
</file>

<file path=xl/ctrlProps/ctrlProp386.xml><?xml version="1.0" encoding="utf-8"?>
<formControlPr xmlns="http://schemas.microsoft.com/office/spreadsheetml/2009/9/main" objectType="Radio" firstButton="1" fmlaLink="Consolida_PE!$J$7" lockText="1"/>
</file>

<file path=xl/ctrlProps/ctrlProp387.xml><?xml version="1.0" encoding="utf-8"?>
<formControlPr xmlns="http://schemas.microsoft.com/office/spreadsheetml/2009/9/main" objectType="Radio" lockText="1"/>
</file>

<file path=xl/ctrlProps/ctrlProp388.xml><?xml version="1.0" encoding="utf-8"?>
<formControlPr xmlns="http://schemas.microsoft.com/office/spreadsheetml/2009/9/main" objectType="Radio" lockText="1"/>
</file>

<file path=xl/ctrlProps/ctrlProp389.xml><?xml version="1.0" encoding="utf-8"?>
<formControlPr xmlns="http://schemas.microsoft.com/office/spreadsheetml/2009/9/main" objectType="Radio" lockText="1"/>
</file>

<file path=xl/ctrlProps/ctrlProp390.xml><?xml version="1.0" encoding="utf-8"?>
<formControlPr xmlns="http://schemas.microsoft.com/office/spreadsheetml/2009/9/main" objectType="Radio" lockText="1"/>
</file>

<file path=xl/ctrlProps/ctrlProp391.xml><?xml version="1.0" encoding="utf-8"?>
<formControlPr xmlns="http://schemas.microsoft.com/office/spreadsheetml/2009/9/main" objectType="GBox"/>
</file>

<file path=xl/ctrlProps/ctrlProp392.xml><?xml version="1.0" encoding="utf-8"?>
<formControlPr xmlns="http://schemas.microsoft.com/office/spreadsheetml/2009/9/main" objectType="Radio" firstButton="1" fmlaLink="Consolida_PE!$J$8" lockText="1"/>
</file>

<file path=xl/ctrlProps/ctrlProp393.xml><?xml version="1.0" encoding="utf-8"?>
<formControlPr xmlns="http://schemas.microsoft.com/office/spreadsheetml/2009/9/main" objectType="Radio" lockText="1"/>
</file>

<file path=xl/ctrlProps/ctrlProp394.xml><?xml version="1.0" encoding="utf-8"?>
<formControlPr xmlns="http://schemas.microsoft.com/office/spreadsheetml/2009/9/main" objectType="Radio" lockText="1"/>
</file>

<file path=xl/ctrlProps/ctrlProp395.xml><?xml version="1.0" encoding="utf-8"?>
<formControlPr xmlns="http://schemas.microsoft.com/office/spreadsheetml/2009/9/main" objectType="Radio" lockText="1"/>
</file>

<file path=xl/ctrlProps/ctrlProp396.xml><?xml version="1.0" encoding="utf-8"?>
<formControlPr xmlns="http://schemas.microsoft.com/office/spreadsheetml/2009/9/main" objectType="Radio" lockText="1"/>
</file>

<file path=xl/ctrlProps/ctrlProp397.xml><?xml version="1.0" encoding="utf-8"?>
<formControlPr xmlns="http://schemas.microsoft.com/office/spreadsheetml/2009/9/main" objectType="GBox"/>
</file>

<file path=xl/ctrlProps/ctrlProp398.xml><?xml version="1.0" encoding="utf-8"?>
<formControlPr xmlns="http://schemas.microsoft.com/office/spreadsheetml/2009/9/main" objectType="Radio" firstButton="1" fmlaLink="Consolida_PE!$J$9" lockText="1"/>
</file>

<file path=xl/ctrlProps/ctrlProp399.xml><?xml version="1.0" encoding="utf-8"?>
<formControlPr xmlns="http://schemas.microsoft.com/office/spreadsheetml/2009/9/main" objectType="Radio" lockText="1"/>
</file>

<file path=xl/ctrlProps/ctrlProp400.xml><?xml version="1.0" encoding="utf-8"?>
<formControlPr xmlns="http://schemas.microsoft.com/office/spreadsheetml/2009/9/main" objectType="Radio" lockText="1"/>
</file>

<file path=xl/ctrlProps/ctrlProp401.xml><?xml version="1.0" encoding="utf-8"?>
<formControlPr xmlns="http://schemas.microsoft.com/office/spreadsheetml/2009/9/main" objectType="Radio" lockText="1"/>
</file>

<file path=xl/ctrlProps/ctrlProp402.xml><?xml version="1.0" encoding="utf-8"?>
<formControlPr xmlns="http://schemas.microsoft.com/office/spreadsheetml/2009/9/main" objectType="Radio" lockText="1"/>
</file>

<file path=xl/ctrlProps/ctrlProp403.xml><?xml version="1.0" encoding="utf-8"?>
<formControlPr xmlns="http://schemas.microsoft.com/office/spreadsheetml/2009/9/main" objectType="GBox"/>
</file>

<file path=xl/ctrlProps/ctrlProp404.xml><?xml version="1.0" encoding="utf-8"?>
<formControlPr xmlns="http://schemas.microsoft.com/office/spreadsheetml/2009/9/main" objectType="Radio" firstButton="1" fmlaLink="Consolida_PE!$J$10" lockText="1"/>
</file>

<file path=xl/ctrlProps/ctrlProp405.xml><?xml version="1.0" encoding="utf-8"?>
<formControlPr xmlns="http://schemas.microsoft.com/office/spreadsheetml/2009/9/main" objectType="Radio" lockText="1"/>
</file>

<file path=xl/ctrlProps/ctrlProp406.xml><?xml version="1.0" encoding="utf-8"?>
<formControlPr xmlns="http://schemas.microsoft.com/office/spreadsheetml/2009/9/main" objectType="Radio" lockText="1"/>
</file>

<file path=xl/ctrlProps/ctrlProp407.xml><?xml version="1.0" encoding="utf-8"?>
<formControlPr xmlns="http://schemas.microsoft.com/office/spreadsheetml/2009/9/main" objectType="Radio" lockText="1"/>
</file>

<file path=xl/ctrlProps/ctrlProp408.xml><?xml version="1.0" encoding="utf-8"?>
<formControlPr xmlns="http://schemas.microsoft.com/office/spreadsheetml/2009/9/main" objectType="Radio" lockText="1"/>
</file>

<file path=xl/ctrlProps/ctrlProp409.xml><?xml version="1.0" encoding="utf-8"?>
<formControlPr xmlns="http://schemas.microsoft.com/office/spreadsheetml/2009/9/main" objectType="GBox"/>
</file>

<file path=xl/ctrlProps/ctrlProp410.xml><?xml version="1.0" encoding="utf-8"?>
<formControlPr xmlns="http://schemas.microsoft.com/office/spreadsheetml/2009/9/main" objectType="Radio" firstButton="1" fmlaLink="Consolida_PE!$J$11" lockText="1"/>
</file>

<file path=xl/ctrlProps/ctrlProp411.xml><?xml version="1.0" encoding="utf-8"?>
<formControlPr xmlns="http://schemas.microsoft.com/office/spreadsheetml/2009/9/main" objectType="Radio" lockText="1"/>
</file>

<file path=xl/ctrlProps/ctrlProp412.xml><?xml version="1.0" encoding="utf-8"?>
<formControlPr xmlns="http://schemas.microsoft.com/office/spreadsheetml/2009/9/main" objectType="Radio" lockText="1"/>
</file>

<file path=xl/ctrlProps/ctrlProp413.xml><?xml version="1.0" encoding="utf-8"?>
<formControlPr xmlns="http://schemas.microsoft.com/office/spreadsheetml/2009/9/main" objectType="Radio" lockText="1"/>
</file>

<file path=xl/ctrlProps/ctrlProp414.xml><?xml version="1.0" encoding="utf-8"?>
<formControlPr xmlns="http://schemas.microsoft.com/office/spreadsheetml/2009/9/main" objectType="Radio" lockText="1"/>
</file>

<file path=xl/ctrlProps/ctrlProp415.xml><?xml version="1.0" encoding="utf-8"?>
<formControlPr xmlns="http://schemas.microsoft.com/office/spreadsheetml/2009/9/main" objectType="GBox"/>
</file>

<file path=xl/ctrlProps/ctrlProp416.xml><?xml version="1.0" encoding="utf-8"?>
<formControlPr xmlns="http://schemas.microsoft.com/office/spreadsheetml/2009/9/main" objectType="Radio" firstButton="1" fmlaLink="Consolida_PE!$J$12" lockText="1"/>
</file>

<file path=xl/ctrlProps/ctrlProp417.xml><?xml version="1.0" encoding="utf-8"?>
<formControlPr xmlns="http://schemas.microsoft.com/office/spreadsheetml/2009/9/main" objectType="Radio" lockText="1"/>
</file>

<file path=xl/ctrlProps/ctrlProp418.xml><?xml version="1.0" encoding="utf-8"?>
<formControlPr xmlns="http://schemas.microsoft.com/office/spreadsheetml/2009/9/main" objectType="Radio" lockText="1"/>
</file>

<file path=xl/ctrlProps/ctrlProp419.xml><?xml version="1.0" encoding="utf-8"?>
<formControlPr xmlns="http://schemas.microsoft.com/office/spreadsheetml/2009/9/main" objectType="Radio" lockText="1"/>
</file>

<file path=xl/ctrlProps/ctrlProp420.xml><?xml version="1.0" encoding="utf-8"?>
<formControlPr xmlns="http://schemas.microsoft.com/office/spreadsheetml/2009/9/main" objectType="Radio" lockText="1"/>
</file>

<file path=xl/ctrlProps/ctrlProp421.xml><?xml version="1.0" encoding="utf-8"?>
<formControlPr xmlns="http://schemas.microsoft.com/office/spreadsheetml/2009/9/main" objectType="GBox"/>
</file>

<file path=xl/ctrlProps/ctrlProp422.xml><?xml version="1.0" encoding="utf-8"?>
<formControlPr xmlns="http://schemas.microsoft.com/office/spreadsheetml/2009/9/main" objectType="Radio" firstButton="1" fmlaLink="Consolida_PE!$J$13" lockText="1"/>
</file>

<file path=xl/ctrlProps/ctrlProp423.xml><?xml version="1.0" encoding="utf-8"?>
<formControlPr xmlns="http://schemas.microsoft.com/office/spreadsheetml/2009/9/main" objectType="Radio" lockText="1"/>
</file>

<file path=xl/ctrlProps/ctrlProp424.xml><?xml version="1.0" encoding="utf-8"?>
<formControlPr xmlns="http://schemas.microsoft.com/office/spreadsheetml/2009/9/main" objectType="Radio" lockText="1"/>
</file>

<file path=xl/ctrlProps/ctrlProp425.xml><?xml version="1.0" encoding="utf-8"?>
<formControlPr xmlns="http://schemas.microsoft.com/office/spreadsheetml/2009/9/main" objectType="Radio" lockText="1"/>
</file>

<file path=xl/ctrlProps/ctrlProp426.xml><?xml version="1.0" encoding="utf-8"?>
<formControlPr xmlns="http://schemas.microsoft.com/office/spreadsheetml/2009/9/main" objectType="Radio" lockText="1"/>
</file>

<file path=xl/ctrlProps/ctrlProp427.xml><?xml version="1.0" encoding="utf-8"?>
<formControlPr xmlns="http://schemas.microsoft.com/office/spreadsheetml/2009/9/main" objectType="GBox"/>
</file>

<file path=xl/ctrlProps/ctrlProp428.xml><?xml version="1.0" encoding="utf-8"?>
<formControlPr xmlns="http://schemas.microsoft.com/office/spreadsheetml/2009/9/main" objectType="Radio" firstButton="1" fmlaLink="Consolida_PE!$J$14" lockText="1"/>
</file>

<file path=xl/ctrlProps/ctrlProp429.xml><?xml version="1.0" encoding="utf-8"?>
<formControlPr xmlns="http://schemas.microsoft.com/office/spreadsheetml/2009/9/main" objectType="Radio" lockText="1"/>
</file>

<file path=xl/ctrlProps/ctrlProp430.xml><?xml version="1.0" encoding="utf-8"?>
<formControlPr xmlns="http://schemas.microsoft.com/office/spreadsheetml/2009/9/main" objectType="Radio" lockText="1"/>
</file>

<file path=xl/ctrlProps/ctrlProp431.xml><?xml version="1.0" encoding="utf-8"?>
<formControlPr xmlns="http://schemas.microsoft.com/office/spreadsheetml/2009/9/main" objectType="Radio" lockText="1"/>
</file>

<file path=xl/ctrlProps/ctrlProp432.xml><?xml version="1.0" encoding="utf-8"?>
<formControlPr xmlns="http://schemas.microsoft.com/office/spreadsheetml/2009/9/main" objectType="Radio" lockText="1"/>
</file>

<file path=xl/ctrlProps/ctrlProp433.xml><?xml version="1.0" encoding="utf-8"?>
<formControlPr xmlns="http://schemas.microsoft.com/office/spreadsheetml/2009/9/main" objectType="GBox"/>
</file>

<file path=xl/ctrlProps/ctrlProp434.xml><?xml version="1.0" encoding="utf-8"?>
<formControlPr xmlns="http://schemas.microsoft.com/office/spreadsheetml/2009/9/main" objectType="Radio" firstButton="1" fmlaLink="Consolida_PE!$J$15" lockText="1"/>
</file>

<file path=xl/ctrlProps/ctrlProp435.xml><?xml version="1.0" encoding="utf-8"?>
<formControlPr xmlns="http://schemas.microsoft.com/office/spreadsheetml/2009/9/main" objectType="Radio" lockText="1"/>
</file>

<file path=xl/ctrlProps/ctrlProp436.xml><?xml version="1.0" encoding="utf-8"?>
<formControlPr xmlns="http://schemas.microsoft.com/office/spreadsheetml/2009/9/main" objectType="Radio" lockText="1"/>
</file>

<file path=xl/ctrlProps/ctrlProp437.xml><?xml version="1.0" encoding="utf-8"?>
<formControlPr xmlns="http://schemas.microsoft.com/office/spreadsheetml/2009/9/main" objectType="Radio" lockText="1"/>
</file>

<file path=xl/ctrlProps/ctrlProp438.xml><?xml version="1.0" encoding="utf-8"?>
<formControlPr xmlns="http://schemas.microsoft.com/office/spreadsheetml/2009/9/main" objectType="Radio" lockText="1"/>
</file>

<file path=xl/ctrlProps/ctrlProp439.xml><?xml version="1.0" encoding="utf-8"?>
<formControlPr xmlns="http://schemas.microsoft.com/office/spreadsheetml/2009/9/main" objectType="GBox"/>
</file>

<file path=xl/ctrlProps/ctrlProp440.xml><?xml version="1.0" encoding="utf-8"?>
<formControlPr xmlns="http://schemas.microsoft.com/office/spreadsheetml/2009/9/main" objectType="Radio" firstButton="1" fmlaLink="Consolida_PE!$J$16" lockText="1"/>
</file>

<file path=xl/ctrlProps/ctrlProp441.xml><?xml version="1.0" encoding="utf-8"?>
<formControlPr xmlns="http://schemas.microsoft.com/office/spreadsheetml/2009/9/main" objectType="Radio" lockText="1"/>
</file>

<file path=xl/ctrlProps/ctrlProp442.xml><?xml version="1.0" encoding="utf-8"?>
<formControlPr xmlns="http://schemas.microsoft.com/office/spreadsheetml/2009/9/main" objectType="Radio" lockText="1"/>
</file>

<file path=xl/ctrlProps/ctrlProp443.xml><?xml version="1.0" encoding="utf-8"?>
<formControlPr xmlns="http://schemas.microsoft.com/office/spreadsheetml/2009/9/main" objectType="Radio" lockText="1"/>
</file>

<file path=xl/ctrlProps/ctrlProp444.xml><?xml version="1.0" encoding="utf-8"?>
<formControlPr xmlns="http://schemas.microsoft.com/office/spreadsheetml/2009/9/main" objectType="Radio" lockText="1"/>
</file>

<file path=xl/ctrlProps/ctrlProp445.xml><?xml version="1.0" encoding="utf-8"?>
<formControlPr xmlns="http://schemas.microsoft.com/office/spreadsheetml/2009/9/main" objectType="GBox"/>
</file>

<file path=xl/ctrlProps/ctrlProp446.xml><?xml version="1.0" encoding="utf-8"?>
<formControlPr xmlns="http://schemas.microsoft.com/office/spreadsheetml/2009/9/main" objectType="Radio" firstButton="1" fmlaLink="Consolida_PE!$J$17" lockText="1"/>
</file>

<file path=xl/ctrlProps/ctrlProp447.xml><?xml version="1.0" encoding="utf-8"?>
<formControlPr xmlns="http://schemas.microsoft.com/office/spreadsheetml/2009/9/main" objectType="Radio" lockText="1"/>
</file>

<file path=xl/ctrlProps/ctrlProp448.xml><?xml version="1.0" encoding="utf-8"?>
<formControlPr xmlns="http://schemas.microsoft.com/office/spreadsheetml/2009/9/main" objectType="Radio" lockText="1"/>
</file>

<file path=xl/ctrlProps/ctrlProp449.xml><?xml version="1.0" encoding="utf-8"?>
<formControlPr xmlns="http://schemas.microsoft.com/office/spreadsheetml/2009/9/main" objectType="Radio" lockText="1"/>
</file>

<file path=xl/ctrlProps/ctrlProp450.xml><?xml version="1.0" encoding="utf-8"?>
<formControlPr xmlns="http://schemas.microsoft.com/office/spreadsheetml/2009/9/main" objectType="Radio" lockText="1"/>
</file>

<file path=xl/ctrlProps/ctrlProp451.xml><?xml version="1.0" encoding="utf-8"?>
<formControlPr xmlns="http://schemas.microsoft.com/office/spreadsheetml/2009/9/main" objectType="GBox"/>
</file>

<file path=xl/ctrlProps/ctrlProp452.xml><?xml version="1.0" encoding="utf-8"?>
<formControlPr xmlns="http://schemas.microsoft.com/office/spreadsheetml/2009/9/main" objectType="Radio" firstButton="1" fmlaLink="Consolida_PE!$J$18" lockText="1"/>
</file>

<file path=xl/ctrlProps/ctrlProp453.xml><?xml version="1.0" encoding="utf-8"?>
<formControlPr xmlns="http://schemas.microsoft.com/office/spreadsheetml/2009/9/main" objectType="Radio" lockText="1"/>
</file>

<file path=xl/ctrlProps/ctrlProp454.xml><?xml version="1.0" encoding="utf-8"?>
<formControlPr xmlns="http://schemas.microsoft.com/office/spreadsheetml/2009/9/main" objectType="Radio" lockText="1"/>
</file>

<file path=xl/ctrlProps/ctrlProp455.xml><?xml version="1.0" encoding="utf-8"?>
<formControlPr xmlns="http://schemas.microsoft.com/office/spreadsheetml/2009/9/main" objectType="Radio" lockText="1"/>
</file>

<file path=xl/ctrlProps/ctrlProp456.xml><?xml version="1.0" encoding="utf-8"?>
<formControlPr xmlns="http://schemas.microsoft.com/office/spreadsheetml/2009/9/main" objectType="Radio" lockText="1"/>
</file>

<file path=xl/ctrlProps/ctrlProp457.xml><?xml version="1.0" encoding="utf-8"?>
<formControlPr xmlns="http://schemas.microsoft.com/office/spreadsheetml/2009/9/main" objectType="GBox"/>
</file>

<file path=xl/ctrlProps/ctrlProp458.xml><?xml version="1.0" encoding="utf-8"?>
<formControlPr xmlns="http://schemas.microsoft.com/office/spreadsheetml/2009/9/main" objectType="Radio" firstButton="1" fmlaLink="Consolida_PE!$J$19" lockText="1"/>
</file>

<file path=xl/ctrlProps/ctrlProp459.xml><?xml version="1.0" encoding="utf-8"?>
<formControlPr xmlns="http://schemas.microsoft.com/office/spreadsheetml/2009/9/main" objectType="Radio" lockText="1"/>
</file>

<file path=xl/ctrlProps/ctrlProp460.xml><?xml version="1.0" encoding="utf-8"?>
<formControlPr xmlns="http://schemas.microsoft.com/office/spreadsheetml/2009/9/main" objectType="Radio" lockText="1"/>
</file>

<file path=xl/ctrlProps/ctrlProp461.xml><?xml version="1.0" encoding="utf-8"?>
<formControlPr xmlns="http://schemas.microsoft.com/office/spreadsheetml/2009/9/main" objectType="Radio" lockText="1"/>
</file>

<file path=xl/ctrlProps/ctrlProp462.xml><?xml version="1.0" encoding="utf-8"?>
<formControlPr xmlns="http://schemas.microsoft.com/office/spreadsheetml/2009/9/main" objectType="Radio" lockText="1"/>
</file>

<file path=xl/ctrlProps/ctrlProp463.xml><?xml version="1.0" encoding="utf-8"?>
<formControlPr xmlns="http://schemas.microsoft.com/office/spreadsheetml/2009/9/main" objectType="GBox"/>
</file>

<file path=xl/ctrlProps/ctrlProp464.xml><?xml version="1.0" encoding="utf-8"?>
<formControlPr xmlns="http://schemas.microsoft.com/office/spreadsheetml/2009/9/main" objectType="Radio" firstButton="1" fmlaLink="Consolida_PE!$J$20" lockText="1"/>
</file>

<file path=xl/ctrlProps/ctrlProp465.xml><?xml version="1.0" encoding="utf-8"?>
<formControlPr xmlns="http://schemas.microsoft.com/office/spreadsheetml/2009/9/main" objectType="Radio" lockText="1"/>
</file>

<file path=xl/ctrlProps/ctrlProp466.xml><?xml version="1.0" encoding="utf-8"?>
<formControlPr xmlns="http://schemas.microsoft.com/office/spreadsheetml/2009/9/main" objectType="Radio" lockText="1"/>
</file>

<file path=xl/ctrlProps/ctrlProp467.xml><?xml version="1.0" encoding="utf-8"?>
<formControlPr xmlns="http://schemas.microsoft.com/office/spreadsheetml/2009/9/main" objectType="Radio" lockText="1"/>
</file>

<file path=xl/ctrlProps/ctrlProp468.xml><?xml version="1.0" encoding="utf-8"?>
<formControlPr xmlns="http://schemas.microsoft.com/office/spreadsheetml/2009/9/main" objectType="Radio" lockText="1"/>
</file>

<file path=xl/ctrlProps/ctrlProp469.xml><?xml version="1.0" encoding="utf-8"?>
<formControlPr xmlns="http://schemas.microsoft.com/office/spreadsheetml/2009/9/main" objectType="GBox"/>
</file>

<file path=xl/ctrlProps/ctrlProp470.xml><?xml version="1.0" encoding="utf-8"?>
<formControlPr xmlns="http://schemas.microsoft.com/office/spreadsheetml/2009/9/main" objectType="Radio" firstButton="1" fmlaLink="Consolida_PE!$J$21" lockText="1"/>
</file>

<file path=xl/ctrlProps/ctrlProp471.xml><?xml version="1.0" encoding="utf-8"?>
<formControlPr xmlns="http://schemas.microsoft.com/office/spreadsheetml/2009/9/main" objectType="Radio" lockText="1"/>
</file>

<file path=xl/ctrlProps/ctrlProp472.xml><?xml version="1.0" encoding="utf-8"?>
<formControlPr xmlns="http://schemas.microsoft.com/office/spreadsheetml/2009/9/main" objectType="Radio" lockText="1"/>
</file>

<file path=xl/ctrlProps/ctrlProp473.xml><?xml version="1.0" encoding="utf-8"?>
<formControlPr xmlns="http://schemas.microsoft.com/office/spreadsheetml/2009/9/main" objectType="Radio" lockText="1"/>
</file>

<file path=xl/ctrlProps/ctrlProp474.xml><?xml version="1.0" encoding="utf-8"?>
<formControlPr xmlns="http://schemas.microsoft.com/office/spreadsheetml/2009/9/main" objectType="Radio" lockText="1"/>
</file>

<file path=xl/ctrlProps/ctrlProp475.xml><?xml version="1.0" encoding="utf-8"?>
<formControlPr xmlns="http://schemas.microsoft.com/office/spreadsheetml/2009/9/main" objectType="GBox"/>
</file>

<file path=xl/ctrlProps/ctrlProp476.xml><?xml version="1.0" encoding="utf-8"?>
<formControlPr xmlns="http://schemas.microsoft.com/office/spreadsheetml/2009/9/main" objectType="Radio" firstButton="1" fmlaLink="Consolida_PE!$J$22" lockText="1"/>
</file>

<file path=xl/ctrlProps/ctrlProp477.xml><?xml version="1.0" encoding="utf-8"?>
<formControlPr xmlns="http://schemas.microsoft.com/office/spreadsheetml/2009/9/main" objectType="Radio" lockText="1"/>
</file>

<file path=xl/ctrlProps/ctrlProp478.xml><?xml version="1.0" encoding="utf-8"?>
<formControlPr xmlns="http://schemas.microsoft.com/office/spreadsheetml/2009/9/main" objectType="Radio" lockText="1"/>
</file>

<file path=xl/ctrlProps/ctrlProp479.xml><?xml version="1.0" encoding="utf-8"?>
<formControlPr xmlns="http://schemas.microsoft.com/office/spreadsheetml/2009/9/main" objectType="Radio" lockText="1"/>
</file>

<file path=xl/ctrlProps/ctrlProp480.xml><?xml version="1.0" encoding="utf-8"?>
<formControlPr xmlns="http://schemas.microsoft.com/office/spreadsheetml/2009/9/main" objectType="Radio" lockText="1"/>
</file>

<file path=xl/ctrlProps/ctrlProp481.xml><?xml version="1.0" encoding="utf-8"?>
<formControlPr xmlns="http://schemas.microsoft.com/office/spreadsheetml/2009/9/main" objectType="GBox"/>
</file>

<file path=xl/ctrlProps/ctrlProp482.xml><?xml version="1.0" encoding="utf-8"?>
<formControlPr xmlns="http://schemas.microsoft.com/office/spreadsheetml/2009/9/main" objectType="Radio" firstButton="1" fmlaLink="Consolida_PE!$J$23" lockText="1"/>
</file>

<file path=xl/ctrlProps/ctrlProp483.xml><?xml version="1.0" encoding="utf-8"?>
<formControlPr xmlns="http://schemas.microsoft.com/office/spreadsheetml/2009/9/main" objectType="Radio" lockText="1"/>
</file>

<file path=xl/ctrlProps/ctrlProp484.xml><?xml version="1.0" encoding="utf-8"?>
<formControlPr xmlns="http://schemas.microsoft.com/office/spreadsheetml/2009/9/main" objectType="Radio" lockText="1"/>
</file>

<file path=xl/ctrlProps/ctrlProp485.xml><?xml version="1.0" encoding="utf-8"?>
<formControlPr xmlns="http://schemas.microsoft.com/office/spreadsheetml/2009/9/main" objectType="Radio" lockText="1"/>
</file>

<file path=xl/ctrlProps/ctrlProp486.xml><?xml version="1.0" encoding="utf-8"?>
<formControlPr xmlns="http://schemas.microsoft.com/office/spreadsheetml/2009/9/main" objectType="Radio" lockText="1"/>
</file>

<file path=xl/ctrlProps/ctrlProp487.xml><?xml version="1.0" encoding="utf-8"?>
<formControlPr xmlns="http://schemas.microsoft.com/office/spreadsheetml/2009/9/main" objectType="GBox"/>
</file>

<file path=xl/ctrlProps/ctrlProp488.xml><?xml version="1.0" encoding="utf-8"?>
<formControlPr xmlns="http://schemas.microsoft.com/office/spreadsheetml/2009/9/main" objectType="Radio" firstButton="1" fmlaLink="Consolida_PE!$J$24" lockText="1"/>
</file>

<file path=xl/ctrlProps/ctrlProp489.xml><?xml version="1.0" encoding="utf-8"?>
<formControlPr xmlns="http://schemas.microsoft.com/office/spreadsheetml/2009/9/main" objectType="Radio" lockText="1"/>
</file>

<file path=xl/ctrlProps/ctrlProp490.xml><?xml version="1.0" encoding="utf-8"?>
<formControlPr xmlns="http://schemas.microsoft.com/office/spreadsheetml/2009/9/main" objectType="Radio" lockText="1"/>
</file>

<file path=xl/ctrlProps/ctrlProp491.xml><?xml version="1.0" encoding="utf-8"?>
<formControlPr xmlns="http://schemas.microsoft.com/office/spreadsheetml/2009/9/main" objectType="Radio" lockText="1"/>
</file>

<file path=xl/ctrlProps/ctrlProp492.xml><?xml version="1.0" encoding="utf-8"?>
<formControlPr xmlns="http://schemas.microsoft.com/office/spreadsheetml/2009/9/main" objectType="Radio" lockText="1"/>
</file>

<file path=xl/ctrlProps/ctrlProp493.xml><?xml version="1.0" encoding="utf-8"?>
<formControlPr xmlns="http://schemas.microsoft.com/office/spreadsheetml/2009/9/main" objectType="GBox"/>
</file>

<file path=xl/ctrlProps/ctrlProp494.xml><?xml version="1.0" encoding="utf-8"?>
<formControlPr xmlns="http://schemas.microsoft.com/office/spreadsheetml/2009/9/main" objectType="Radio" firstButton="1" fmlaLink="Consolida_PE!$J$25" lockText="1"/>
</file>

<file path=xl/ctrlProps/ctrlProp495.xml><?xml version="1.0" encoding="utf-8"?>
<formControlPr xmlns="http://schemas.microsoft.com/office/spreadsheetml/2009/9/main" objectType="Radio" lockText="1"/>
</file>

<file path=xl/ctrlProps/ctrlProp496.xml><?xml version="1.0" encoding="utf-8"?>
<formControlPr xmlns="http://schemas.microsoft.com/office/spreadsheetml/2009/9/main" objectType="Radio" lockText="1"/>
</file>

<file path=xl/ctrlProps/ctrlProp497.xml><?xml version="1.0" encoding="utf-8"?>
<formControlPr xmlns="http://schemas.microsoft.com/office/spreadsheetml/2009/9/main" objectType="Radio" lockText="1"/>
</file>

<file path=xl/ctrlProps/ctrlProp498.xml><?xml version="1.0" encoding="utf-8"?>
<formControlPr xmlns="http://schemas.microsoft.com/office/spreadsheetml/2009/9/main" objectType="Radio" lockText="1"/>
</file>

<file path=xl/ctrlProps/ctrlProp499.xml><?xml version="1.0" encoding="utf-8"?>
<formControlPr xmlns="http://schemas.microsoft.com/office/spreadsheetml/2009/9/main" objectType="GBox"/>
</file>

<file path=xl/ctrlProps/ctrlProp500.xml><?xml version="1.0" encoding="utf-8"?>
<formControlPr xmlns="http://schemas.microsoft.com/office/spreadsheetml/2009/9/main" objectType="Radio" firstButton="1" fmlaLink="Consolida_PE!$J$26" lockText="1"/>
</file>

<file path=xl/ctrlProps/ctrlProp501.xml><?xml version="1.0" encoding="utf-8"?>
<formControlPr xmlns="http://schemas.microsoft.com/office/spreadsheetml/2009/9/main" objectType="Radio" lockText="1"/>
</file>

<file path=xl/ctrlProps/ctrlProp502.xml><?xml version="1.0" encoding="utf-8"?>
<formControlPr xmlns="http://schemas.microsoft.com/office/spreadsheetml/2009/9/main" objectType="Radio" lockText="1"/>
</file>

<file path=xl/ctrlProps/ctrlProp503.xml><?xml version="1.0" encoding="utf-8"?>
<formControlPr xmlns="http://schemas.microsoft.com/office/spreadsheetml/2009/9/main" objectType="Radio" lockText="1"/>
</file>

<file path=xl/ctrlProps/ctrlProp504.xml><?xml version="1.0" encoding="utf-8"?>
<formControlPr xmlns="http://schemas.microsoft.com/office/spreadsheetml/2009/9/main" objectType="Radio" lockText="1"/>
</file>

<file path=xl/ctrlProps/ctrlProp505.xml><?xml version="1.0" encoding="utf-8"?>
<formControlPr xmlns="http://schemas.microsoft.com/office/spreadsheetml/2009/9/main" objectType="GBox"/>
</file>

<file path=xl/ctrlProps/ctrlProp506.xml><?xml version="1.0" encoding="utf-8"?>
<formControlPr xmlns="http://schemas.microsoft.com/office/spreadsheetml/2009/9/main" objectType="Radio" firstButton="1" fmlaLink="Consolida_PE!$J$27" lockText="1"/>
</file>

<file path=xl/ctrlProps/ctrlProp507.xml><?xml version="1.0" encoding="utf-8"?>
<formControlPr xmlns="http://schemas.microsoft.com/office/spreadsheetml/2009/9/main" objectType="Radio" lockText="1"/>
</file>

<file path=xl/ctrlProps/ctrlProp508.xml><?xml version="1.0" encoding="utf-8"?>
<formControlPr xmlns="http://schemas.microsoft.com/office/spreadsheetml/2009/9/main" objectType="Radio" lockText="1"/>
</file>

<file path=xl/ctrlProps/ctrlProp509.xml><?xml version="1.0" encoding="utf-8"?>
<formControlPr xmlns="http://schemas.microsoft.com/office/spreadsheetml/2009/9/main" objectType="Radio" lockText="1"/>
</file>

<file path=xl/ctrlProps/ctrlProp510.xml><?xml version="1.0" encoding="utf-8"?>
<formControlPr xmlns="http://schemas.microsoft.com/office/spreadsheetml/2009/9/main" objectType="Radio" lockText="1"/>
</file>

<file path=xl/ctrlProps/ctrlProp511.xml><?xml version="1.0" encoding="utf-8"?>
<formControlPr xmlns="http://schemas.microsoft.com/office/spreadsheetml/2009/9/main" objectType="GBox"/>
</file>

<file path=xl/ctrlProps/ctrlProp512.xml><?xml version="1.0" encoding="utf-8"?>
<formControlPr xmlns="http://schemas.microsoft.com/office/spreadsheetml/2009/9/main" objectType="Radio" firstButton="1" fmlaLink="Consolida_PE!$J$28" lockText="1"/>
</file>

<file path=xl/ctrlProps/ctrlProp513.xml><?xml version="1.0" encoding="utf-8"?>
<formControlPr xmlns="http://schemas.microsoft.com/office/spreadsheetml/2009/9/main" objectType="Radio" lockText="1"/>
</file>

<file path=xl/ctrlProps/ctrlProp514.xml><?xml version="1.0" encoding="utf-8"?>
<formControlPr xmlns="http://schemas.microsoft.com/office/spreadsheetml/2009/9/main" objectType="Radio" lockText="1"/>
</file>

<file path=xl/ctrlProps/ctrlProp515.xml><?xml version="1.0" encoding="utf-8"?>
<formControlPr xmlns="http://schemas.microsoft.com/office/spreadsheetml/2009/9/main" objectType="Radio" lockText="1"/>
</file>

<file path=xl/ctrlProps/ctrlProp516.xml><?xml version="1.0" encoding="utf-8"?>
<formControlPr xmlns="http://schemas.microsoft.com/office/spreadsheetml/2009/9/main" objectType="Radio" lockText="1"/>
</file>

<file path=xl/ctrlProps/ctrlProp517.xml><?xml version="1.0" encoding="utf-8"?>
<formControlPr xmlns="http://schemas.microsoft.com/office/spreadsheetml/2009/9/main" objectType="GBox"/>
</file>

<file path=xl/ctrlProps/ctrlProp518.xml><?xml version="1.0" encoding="utf-8"?>
<formControlPr xmlns="http://schemas.microsoft.com/office/spreadsheetml/2009/9/main" objectType="Radio" firstButton="1" fmlaLink="Consolida_PE!$J$29" lockText="1"/>
</file>

<file path=xl/ctrlProps/ctrlProp519.xml><?xml version="1.0" encoding="utf-8"?>
<formControlPr xmlns="http://schemas.microsoft.com/office/spreadsheetml/2009/9/main" objectType="Radio" lockText="1"/>
</file>

<file path=xl/ctrlProps/ctrlProp520.xml><?xml version="1.0" encoding="utf-8"?>
<formControlPr xmlns="http://schemas.microsoft.com/office/spreadsheetml/2009/9/main" objectType="Radio" lockText="1"/>
</file>

<file path=xl/ctrlProps/ctrlProp521.xml><?xml version="1.0" encoding="utf-8"?>
<formControlPr xmlns="http://schemas.microsoft.com/office/spreadsheetml/2009/9/main" objectType="Radio" lockText="1"/>
</file>

<file path=xl/ctrlProps/ctrlProp522.xml><?xml version="1.0" encoding="utf-8"?>
<formControlPr xmlns="http://schemas.microsoft.com/office/spreadsheetml/2009/9/main" objectType="Radio" lockText="1"/>
</file>

<file path=xl/ctrlProps/ctrlProp523.xml><?xml version="1.0" encoding="utf-8"?>
<formControlPr xmlns="http://schemas.microsoft.com/office/spreadsheetml/2009/9/main" objectType="GBox"/>
</file>

<file path=xl/ctrlProps/ctrlProp524.xml><?xml version="1.0" encoding="utf-8"?>
<formControlPr xmlns="http://schemas.microsoft.com/office/spreadsheetml/2009/9/main" objectType="Radio" firstButton="1" fmlaLink="Consolida_PE!$J$30" lockText="1"/>
</file>

<file path=xl/ctrlProps/ctrlProp525.xml><?xml version="1.0" encoding="utf-8"?>
<formControlPr xmlns="http://schemas.microsoft.com/office/spreadsheetml/2009/9/main" objectType="Radio" lockText="1"/>
</file>

<file path=xl/ctrlProps/ctrlProp526.xml><?xml version="1.0" encoding="utf-8"?>
<formControlPr xmlns="http://schemas.microsoft.com/office/spreadsheetml/2009/9/main" objectType="Radio" lockText="1"/>
</file>

<file path=xl/ctrlProps/ctrlProp527.xml><?xml version="1.0" encoding="utf-8"?>
<formControlPr xmlns="http://schemas.microsoft.com/office/spreadsheetml/2009/9/main" objectType="Radio" lockText="1"/>
</file>

<file path=xl/ctrlProps/ctrlProp528.xml><?xml version="1.0" encoding="utf-8"?>
<formControlPr xmlns="http://schemas.microsoft.com/office/spreadsheetml/2009/9/main" objectType="Radio" lockText="1"/>
</file>

<file path=xl/ctrlProps/ctrlProp529.xml><?xml version="1.0" encoding="utf-8"?>
<formControlPr xmlns="http://schemas.microsoft.com/office/spreadsheetml/2009/9/main" objectType="GBox"/>
</file>

<file path=xl/ctrlProps/ctrlProp530.xml><?xml version="1.0" encoding="utf-8"?>
<formControlPr xmlns="http://schemas.microsoft.com/office/spreadsheetml/2009/9/main" objectType="Radio" firstButton="1" fmlaLink="Consolida_PE!$J$31" lockText="1"/>
</file>

<file path=xl/ctrlProps/ctrlProp531.xml><?xml version="1.0" encoding="utf-8"?>
<formControlPr xmlns="http://schemas.microsoft.com/office/spreadsheetml/2009/9/main" objectType="Radio" lockText="1"/>
</file>

<file path=xl/ctrlProps/ctrlProp532.xml><?xml version="1.0" encoding="utf-8"?>
<formControlPr xmlns="http://schemas.microsoft.com/office/spreadsheetml/2009/9/main" objectType="Radio" lockText="1"/>
</file>

<file path=xl/ctrlProps/ctrlProp533.xml><?xml version="1.0" encoding="utf-8"?>
<formControlPr xmlns="http://schemas.microsoft.com/office/spreadsheetml/2009/9/main" objectType="Radio" lockText="1"/>
</file>

<file path=xl/ctrlProps/ctrlProp534.xml><?xml version="1.0" encoding="utf-8"?>
<formControlPr xmlns="http://schemas.microsoft.com/office/spreadsheetml/2009/9/main" objectType="Radio" lockText="1"/>
</file>

<file path=xl/ctrlProps/ctrlProp535.xml><?xml version="1.0" encoding="utf-8"?>
<formControlPr xmlns="http://schemas.microsoft.com/office/spreadsheetml/2009/9/main" objectType="GBox"/>
</file>

<file path=xl/ctrlProps/ctrlProp536.xml><?xml version="1.0" encoding="utf-8"?>
<formControlPr xmlns="http://schemas.microsoft.com/office/spreadsheetml/2009/9/main" objectType="Radio" firstButton="1" fmlaLink="Consolida_PE!$J$32" lockText="1"/>
</file>

<file path=xl/ctrlProps/ctrlProp537.xml><?xml version="1.0" encoding="utf-8"?>
<formControlPr xmlns="http://schemas.microsoft.com/office/spreadsheetml/2009/9/main" objectType="Radio" lockText="1"/>
</file>

<file path=xl/ctrlProps/ctrlProp538.xml><?xml version="1.0" encoding="utf-8"?>
<formControlPr xmlns="http://schemas.microsoft.com/office/spreadsheetml/2009/9/main" objectType="Radio" lockText="1"/>
</file>

<file path=xl/ctrlProps/ctrlProp539.xml><?xml version="1.0" encoding="utf-8"?>
<formControlPr xmlns="http://schemas.microsoft.com/office/spreadsheetml/2009/9/main" objectType="Radio" lockText="1"/>
</file>

<file path=xl/ctrlProps/ctrlProp540.xml><?xml version="1.0" encoding="utf-8"?>
<formControlPr xmlns="http://schemas.microsoft.com/office/spreadsheetml/2009/9/main" objectType="Radio" lockText="1"/>
</file>

<file path=xl/ctrlProps/ctrlProp541.xml><?xml version="1.0" encoding="utf-8"?>
<formControlPr xmlns="http://schemas.microsoft.com/office/spreadsheetml/2009/9/main" objectType="GBox"/>
</file>

<file path=xl/ctrlProps/ctrlProp542.xml><?xml version="1.0" encoding="utf-8"?>
<formControlPr xmlns="http://schemas.microsoft.com/office/spreadsheetml/2009/9/main" objectType="Radio" firstButton="1" fmlaLink="Consolida_PE!$K$3" lockText="1"/>
</file>

<file path=xl/ctrlProps/ctrlProp543.xml><?xml version="1.0" encoding="utf-8"?>
<formControlPr xmlns="http://schemas.microsoft.com/office/spreadsheetml/2009/9/main" objectType="Radio" lockText="1"/>
</file>

<file path=xl/ctrlProps/ctrlProp544.xml><?xml version="1.0" encoding="utf-8"?>
<formControlPr xmlns="http://schemas.microsoft.com/office/spreadsheetml/2009/9/main" objectType="Radio" lockText="1"/>
</file>

<file path=xl/ctrlProps/ctrlProp545.xml><?xml version="1.0" encoding="utf-8"?>
<formControlPr xmlns="http://schemas.microsoft.com/office/spreadsheetml/2009/9/main" objectType="Radio" lockText="1"/>
</file>

<file path=xl/ctrlProps/ctrlProp546.xml><?xml version="1.0" encoding="utf-8"?>
<formControlPr xmlns="http://schemas.microsoft.com/office/spreadsheetml/2009/9/main" objectType="Radio" lockText="1"/>
</file>

<file path=xl/ctrlProps/ctrlProp547.xml><?xml version="1.0" encoding="utf-8"?>
<formControlPr xmlns="http://schemas.microsoft.com/office/spreadsheetml/2009/9/main" objectType="GBox"/>
</file>

<file path=xl/ctrlProps/ctrlProp548.xml><?xml version="1.0" encoding="utf-8"?>
<formControlPr xmlns="http://schemas.microsoft.com/office/spreadsheetml/2009/9/main" objectType="Radio" firstButton="1" fmlaLink="Consolida_PE!$K$4" lockText="1"/>
</file>

<file path=xl/ctrlProps/ctrlProp549.xml><?xml version="1.0" encoding="utf-8"?>
<formControlPr xmlns="http://schemas.microsoft.com/office/spreadsheetml/2009/9/main" objectType="Radio" lockText="1"/>
</file>

<file path=xl/ctrlProps/ctrlProp550.xml><?xml version="1.0" encoding="utf-8"?>
<formControlPr xmlns="http://schemas.microsoft.com/office/spreadsheetml/2009/9/main" objectType="Radio" lockText="1"/>
</file>

<file path=xl/ctrlProps/ctrlProp551.xml><?xml version="1.0" encoding="utf-8"?>
<formControlPr xmlns="http://schemas.microsoft.com/office/spreadsheetml/2009/9/main" objectType="Radio" lockText="1"/>
</file>

<file path=xl/ctrlProps/ctrlProp552.xml><?xml version="1.0" encoding="utf-8"?>
<formControlPr xmlns="http://schemas.microsoft.com/office/spreadsheetml/2009/9/main" objectType="Radio" lockText="1"/>
</file>

<file path=xl/ctrlProps/ctrlProp553.xml><?xml version="1.0" encoding="utf-8"?>
<formControlPr xmlns="http://schemas.microsoft.com/office/spreadsheetml/2009/9/main" objectType="GBox"/>
</file>

<file path=xl/ctrlProps/ctrlProp554.xml><?xml version="1.0" encoding="utf-8"?>
<formControlPr xmlns="http://schemas.microsoft.com/office/spreadsheetml/2009/9/main" objectType="Radio" firstButton="1" fmlaLink="Consolida_PE!$K$5" lockText="1"/>
</file>

<file path=xl/ctrlProps/ctrlProp555.xml><?xml version="1.0" encoding="utf-8"?>
<formControlPr xmlns="http://schemas.microsoft.com/office/spreadsheetml/2009/9/main" objectType="Radio" lockText="1"/>
</file>

<file path=xl/ctrlProps/ctrlProp556.xml><?xml version="1.0" encoding="utf-8"?>
<formControlPr xmlns="http://schemas.microsoft.com/office/spreadsheetml/2009/9/main" objectType="Radio" lockText="1"/>
</file>

<file path=xl/ctrlProps/ctrlProp557.xml><?xml version="1.0" encoding="utf-8"?>
<formControlPr xmlns="http://schemas.microsoft.com/office/spreadsheetml/2009/9/main" objectType="Radio" lockText="1"/>
</file>

<file path=xl/ctrlProps/ctrlProp558.xml><?xml version="1.0" encoding="utf-8"?>
<formControlPr xmlns="http://schemas.microsoft.com/office/spreadsheetml/2009/9/main" objectType="Radio" lockText="1"/>
</file>

<file path=xl/ctrlProps/ctrlProp559.xml><?xml version="1.0" encoding="utf-8"?>
<formControlPr xmlns="http://schemas.microsoft.com/office/spreadsheetml/2009/9/main" objectType="GBox"/>
</file>

<file path=xl/ctrlProps/ctrlProp560.xml><?xml version="1.0" encoding="utf-8"?>
<formControlPr xmlns="http://schemas.microsoft.com/office/spreadsheetml/2009/9/main" objectType="Radio" firstButton="1" fmlaLink="Consolida_PE!$K$6" lockText="1"/>
</file>

<file path=xl/ctrlProps/ctrlProp561.xml><?xml version="1.0" encoding="utf-8"?>
<formControlPr xmlns="http://schemas.microsoft.com/office/spreadsheetml/2009/9/main" objectType="Radio" lockText="1"/>
</file>

<file path=xl/ctrlProps/ctrlProp562.xml><?xml version="1.0" encoding="utf-8"?>
<formControlPr xmlns="http://schemas.microsoft.com/office/spreadsheetml/2009/9/main" objectType="Radio" lockText="1"/>
</file>

<file path=xl/ctrlProps/ctrlProp563.xml><?xml version="1.0" encoding="utf-8"?>
<formControlPr xmlns="http://schemas.microsoft.com/office/spreadsheetml/2009/9/main" objectType="Radio" lockText="1"/>
</file>

<file path=xl/ctrlProps/ctrlProp564.xml><?xml version="1.0" encoding="utf-8"?>
<formControlPr xmlns="http://schemas.microsoft.com/office/spreadsheetml/2009/9/main" objectType="Radio" lockText="1"/>
</file>

<file path=xl/ctrlProps/ctrlProp565.xml><?xml version="1.0" encoding="utf-8"?>
<formControlPr xmlns="http://schemas.microsoft.com/office/spreadsheetml/2009/9/main" objectType="GBox"/>
</file>

<file path=xl/ctrlProps/ctrlProp566.xml><?xml version="1.0" encoding="utf-8"?>
<formControlPr xmlns="http://schemas.microsoft.com/office/spreadsheetml/2009/9/main" objectType="Radio" firstButton="1" fmlaLink="Consolida_PE!$K$7" lockText="1"/>
</file>

<file path=xl/ctrlProps/ctrlProp567.xml><?xml version="1.0" encoding="utf-8"?>
<formControlPr xmlns="http://schemas.microsoft.com/office/spreadsheetml/2009/9/main" objectType="Radio" lockText="1"/>
</file>

<file path=xl/ctrlProps/ctrlProp568.xml><?xml version="1.0" encoding="utf-8"?>
<formControlPr xmlns="http://schemas.microsoft.com/office/spreadsheetml/2009/9/main" objectType="Radio" lockText="1"/>
</file>

<file path=xl/ctrlProps/ctrlProp569.xml><?xml version="1.0" encoding="utf-8"?>
<formControlPr xmlns="http://schemas.microsoft.com/office/spreadsheetml/2009/9/main" objectType="Radio" lockText="1"/>
</file>

<file path=xl/ctrlProps/ctrlProp570.xml><?xml version="1.0" encoding="utf-8"?>
<formControlPr xmlns="http://schemas.microsoft.com/office/spreadsheetml/2009/9/main" objectType="Radio" lockText="1"/>
</file>

<file path=xl/ctrlProps/ctrlProp571.xml><?xml version="1.0" encoding="utf-8"?>
<formControlPr xmlns="http://schemas.microsoft.com/office/spreadsheetml/2009/9/main" objectType="GBox"/>
</file>

<file path=xl/ctrlProps/ctrlProp572.xml><?xml version="1.0" encoding="utf-8"?>
<formControlPr xmlns="http://schemas.microsoft.com/office/spreadsheetml/2009/9/main" objectType="Radio" firstButton="1" fmlaLink="Consolida_PE!$K$8" lockText="1"/>
</file>

<file path=xl/ctrlProps/ctrlProp573.xml><?xml version="1.0" encoding="utf-8"?>
<formControlPr xmlns="http://schemas.microsoft.com/office/spreadsheetml/2009/9/main" objectType="Radio" lockText="1"/>
</file>

<file path=xl/ctrlProps/ctrlProp574.xml><?xml version="1.0" encoding="utf-8"?>
<formControlPr xmlns="http://schemas.microsoft.com/office/spreadsheetml/2009/9/main" objectType="Radio" lockText="1"/>
</file>

<file path=xl/ctrlProps/ctrlProp575.xml><?xml version="1.0" encoding="utf-8"?>
<formControlPr xmlns="http://schemas.microsoft.com/office/spreadsheetml/2009/9/main" objectType="Radio" lockText="1"/>
</file>

<file path=xl/ctrlProps/ctrlProp576.xml><?xml version="1.0" encoding="utf-8"?>
<formControlPr xmlns="http://schemas.microsoft.com/office/spreadsheetml/2009/9/main" objectType="Radio" lockText="1"/>
</file>

<file path=xl/ctrlProps/ctrlProp577.xml><?xml version="1.0" encoding="utf-8"?>
<formControlPr xmlns="http://schemas.microsoft.com/office/spreadsheetml/2009/9/main" objectType="GBox"/>
</file>

<file path=xl/ctrlProps/ctrlProp578.xml><?xml version="1.0" encoding="utf-8"?>
<formControlPr xmlns="http://schemas.microsoft.com/office/spreadsheetml/2009/9/main" objectType="Radio" firstButton="1" fmlaLink="Consolida_PE!$K$9" lockText="1"/>
</file>

<file path=xl/ctrlProps/ctrlProp579.xml><?xml version="1.0" encoding="utf-8"?>
<formControlPr xmlns="http://schemas.microsoft.com/office/spreadsheetml/2009/9/main" objectType="Radio" lockText="1"/>
</file>

<file path=xl/ctrlProps/ctrlProp580.xml><?xml version="1.0" encoding="utf-8"?>
<formControlPr xmlns="http://schemas.microsoft.com/office/spreadsheetml/2009/9/main" objectType="Radio" lockText="1"/>
</file>

<file path=xl/ctrlProps/ctrlProp581.xml><?xml version="1.0" encoding="utf-8"?>
<formControlPr xmlns="http://schemas.microsoft.com/office/spreadsheetml/2009/9/main" objectType="Radio" lockText="1"/>
</file>

<file path=xl/ctrlProps/ctrlProp582.xml><?xml version="1.0" encoding="utf-8"?>
<formControlPr xmlns="http://schemas.microsoft.com/office/spreadsheetml/2009/9/main" objectType="Radio" lockText="1"/>
</file>

<file path=xl/ctrlProps/ctrlProp583.xml><?xml version="1.0" encoding="utf-8"?>
<formControlPr xmlns="http://schemas.microsoft.com/office/spreadsheetml/2009/9/main" objectType="GBox"/>
</file>

<file path=xl/ctrlProps/ctrlProp584.xml><?xml version="1.0" encoding="utf-8"?>
<formControlPr xmlns="http://schemas.microsoft.com/office/spreadsheetml/2009/9/main" objectType="Radio" firstButton="1" fmlaLink="Consolida_PE!$K$10" lockText="1"/>
</file>

<file path=xl/ctrlProps/ctrlProp585.xml><?xml version="1.0" encoding="utf-8"?>
<formControlPr xmlns="http://schemas.microsoft.com/office/spreadsheetml/2009/9/main" objectType="Radio" lockText="1"/>
</file>

<file path=xl/ctrlProps/ctrlProp586.xml><?xml version="1.0" encoding="utf-8"?>
<formControlPr xmlns="http://schemas.microsoft.com/office/spreadsheetml/2009/9/main" objectType="Radio" lockText="1"/>
</file>

<file path=xl/ctrlProps/ctrlProp587.xml><?xml version="1.0" encoding="utf-8"?>
<formControlPr xmlns="http://schemas.microsoft.com/office/spreadsheetml/2009/9/main" objectType="Radio" lockText="1"/>
</file>

<file path=xl/ctrlProps/ctrlProp588.xml><?xml version="1.0" encoding="utf-8"?>
<formControlPr xmlns="http://schemas.microsoft.com/office/spreadsheetml/2009/9/main" objectType="Radio" lockText="1"/>
</file>

<file path=xl/ctrlProps/ctrlProp589.xml><?xml version="1.0" encoding="utf-8"?>
<formControlPr xmlns="http://schemas.microsoft.com/office/spreadsheetml/2009/9/main" objectType="GBox"/>
</file>

<file path=xl/ctrlProps/ctrlProp590.xml><?xml version="1.0" encoding="utf-8"?>
<formControlPr xmlns="http://schemas.microsoft.com/office/spreadsheetml/2009/9/main" objectType="Radio" firstButton="1" fmlaLink="Consolida_PE!$K$11" lockText="1"/>
</file>

<file path=xl/ctrlProps/ctrlProp591.xml><?xml version="1.0" encoding="utf-8"?>
<formControlPr xmlns="http://schemas.microsoft.com/office/spreadsheetml/2009/9/main" objectType="Radio" lockText="1"/>
</file>

<file path=xl/ctrlProps/ctrlProp592.xml><?xml version="1.0" encoding="utf-8"?>
<formControlPr xmlns="http://schemas.microsoft.com/office/spreadsheetml/2009/9/main" objectType="Radio" lockText="1"/>
</file>

<file path=xl/ctrlProps/ctrlProp593.xml><?xml version="1.0" encoding="utf-8"?>
<formControlPr xmlns="http://schemas.microsoft.com/office/spreadsheetml/2009/9/main" objectType="Radio" lockText="1"/>
</file>

<file path=xl/ctrlProps/ctrlProp594.xml><?xml version="1.0" encoding="utf-8"?>
<formControlPr xmlns="http://schemas.microsoft.com/office/spreadsheetml/2009/9/main" objectType="Radio" lockText="1"/>
</file>

<file path=xl/ctrlProps/ctrlProp595.xml><?xml version="1.0" encoding="utf-8"?>
<formControlPr xmlns="http://schemas.microsoft.com/office/spreadsheetml/2009/9/main" objectType="GBox"/>
</file>

<file path=xl/ctrlProps/ctrlProp596.xml><?xml version="1.0" encoding="utf-8"?>
<formControlPr xmlns="http://schemas.microsoft.com/office/spreadsheetml/2009/9/main" objectType="Radio" firstButton="1" fmlaLink="Consolida_PE!$K$12" lockText="1"/>
</file>

<file path=xl/ctrlProps/ctrlProp597.xml><?xml version="1.0" encoding="utf-8"?>
<formControlPr xmlns="http://schemas.microsoft.com/office/spreadsheetml/2009/9/main" objectType="Radio" lockText="1"/>
</file>

<file path=xl/ctrlProps/ctrlProp598.xml><?xml version="1.0" encoding="utf-8"?>
<formControlPr xmlns="http://schemas.microsoft.com/office/spreadsheetml/2009/9/main" objectType="Radio" lockText="1"/>
</file>

<file path=xl/ctrlProps/ctrlProp599.xml><?xml version="1.0" encoding="utf-8"?>
<formControlPr xmlns="http://schemas.microsoft.com/office/spreadsheetml/2009/9/main" objectType="Radio" lockText="1"/>
</file>

<file path=xl/ctrlProps/ctrlProp600.xml><?xml version="1.0" encoding="utf-8"?>
<formControlPr xmlns="http://schemas.microsoft.com/office/spreadsheetml/2009/9/main" objectType="Radio" lockText="1"/>
</file>

<file path=xl/ctrlProps/ctrlProp601.xml><?xml version="1.0" encoding="utf-8"?>
<formControlPr xmlns="http://schemas.microsoft.com/office/spreadsheetml/2009/9/main" objectType="GBox"/>
</file>

<file path=xl/ctrlProps/ctrlProp602.xml><?xml version="1.0" encoding="utf-8"?>
<formControlPr xmlns="http://schemas.microsoft.com/office/spreadsheetml/2009/9/main" objectType="Radio" firstButton="1" fmlaLink="Consolida_PE!$K$13" lockText="1"/>
</file>

<file path=xl/ctrlProps/ctrlProp603.xml><?xml version="1.0" encoding="utf-8"?>
<formControlPr xmlns="http://schemas.microsoft.com/office/spreadsheetml/2009/9/main" objectType="Radio" lockText="1"/>
</file>

<file path=xl/ctrlProps/ctrlProp604.xml><?xml version="1.0" encoding="utf-8"?>
<formControlPr xmlns="http://schemas.microsoft.com/office/spreadsheetml/2009/9/main" objectType="Radio" lockText="1"/>
</file>

<file path=xl/ctrlProps/ctrlProp605.xml><?xml version="1.0" encoding="utf-8"?>
<formControlPr xmlns="http://schemas.microsoft.com/office/spreadsheetml/2009/9/main" objectType="Radio" lockText="1"/>
</file>

<file path=xl/ctrlProps/ctrlProp606.xml><?xml version="1.0" encoding="utf-8"?>
<formControlPr xmlns="http://schemas.microsoft.com/office/spreadsheetml/2009/9/main" objectType="Radio" lockText="1"/>
</file>

<file path=xl/ctrlProps/ctrlProp607.xml><?xml version="1.0" encoding="utf-8"?>
<formControlPr xmlns="http://schemas.microsoft.com/office/spreadsheetml/2009/9/main" objectType="GBox"/>
</file>

<file path=xl/ctrlProps/ctrlProp608.xml><?xml version="1.0" encoding="utf-8"?>
<formControlPr xmlns="http://schemas.microsoft.com/office/spreadsheetml/2009/9/main" objectType="Radio" firstButton="1" fmlaLink="Consolida_PE!$K$14" lockText="1"/>
</file>

<file path=xl/ctrlProps/ctrlProp609.xml><?xml version="1.0" encoding="utf-8"?>
<formControlPr xmlns="http://schemas.microsoft.com/office/spreadsheetml/2009/9/main" objectType="Radio" lockText="1"/>
</file>

<file path=xl/ctrlProps/ctrlProp610.xml><?xml version="1.0" encoding="utf-8"?>
<formControlPr xmlns="http://schemas.microsoft.com/office/spreadsheetml/2009/9/main" objectType="Radio" lockText="1"/>
</file>

<file path=xl/ctrlProps/ctrlProp611.xml><?xml version="1.0" encoding="utf-8"?>
<formControlPr xmlns="http://schemas.microsoft.com/office/spreadsheetml/2009/9/main" objectType="Radio" lockText="1"/>
</file>

<file path=xl/ctrlProps/ctrlProp612.xml><?xml version="1.0" encoding="utf-8"?>
<formControlPr xmlns="http://schemas.microsoft.com/office/spreadsheetml/2009/9/main" objectType="Radio" lockText="1"/>
</file>

<file path=xl/ctrlProps/ctrlProp613.xml><?xml version="1.0" encoding="utf-8"?>
<formControlPr xmlns="http://schemas.microsoft.com/office/spreadsheetml/2009/9/main" objectType="GBox"/>
</file>

<file path=xl/ctrlProps/ctrlProp614.xml><?xml version="1.0" encoding="utf-8"?>
<formControlPr xmlns="http://schemas.microsoft.com/office/spreadsheetml/2009/9/main" objectType="Radio" firstButton="1" fmlaLink="Consolida_PE!$K$15" lockText="1"/>
</file>

<file path=xl/ctrlProps/ctrlProp615.xml><?xml version="1.0" encoding="utf-8"?>
<formControlPr xmlns="http://schemas.microsoft.com/office/spreadsheetml/2009/9/main" objectType="Radio" lockText="1"/>
</file>

<file path=xl/ctrlProps/ctrlProp616.xml><?xml version="1.0" encoding="utf-8"?>
<formControlPr xmlns="http://schemas.microsoft.com/office/spreadsheetml/2009/9/main" objectType="Radio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Radio" lockText="1"/>
</file>

<file path=xl/ctrlProps/ctrlProp619.xml><?xml version="1.0" encoding="utf-8"?>
<formControlPr xmlns="http://schemas.microsoft.com/office/spreadsheetml/2009/9/main" objectType="GBox"/>
</file>

<file path=xl/ctrlProps/ctrlProp620.xml><?xml version="1.0" encoding="utf-8"?>
<formControlPr xmlns="http://schemas.microsoft.com/office/spreadsheetml/2009/9/main" objectType="Radio" firstButton="1" fmlaLink="Consolida_PE!$K$16" lockText="1"/>
</file>

<file path=xl/ctrlProps/ctrlProp621.xml><?xml version="1.0" encoding="utf-8"?>
<formControlPr xmlns="http://schemas.microsoft.com/office/spreadsheetml/2009/9/main" objectType="Radio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Radio" lockText="1"/>
</file>

<file path=xl/ctrlProps/ctrlProp625.xml><?xml version="1.0" encoding="utf-8"?>
<formControlPr xmlns="http://schemas.microsoft.com/office/spreadsheetml/2009/9/main" objectType="GBox"/>
</file>

<file path=xl/ctrlProps/ctrlProp626.xml><?xml version="1.0" encoding="utf-8"?>
<formControlPr xmlns="http://schemas.microsoft.com/office/spreadsheetml/2009/9/main" objectType="Radio" firstButton="1" fmlaLink="Consolida_PE!$K$17" lockText="1"/>
</file>

<file path=xl/ctrlProps/ctrlProp627.xml><?xml version="1.0" encoding="utf-8"?>
<formControlPr xmlns="http://schemas.microsoft.com/office/spreadsheetml/2009/9/main" objectType="Radio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Radio" lockText="1"/>
</file>

<file path=xl/ctrlProps/ctrlProp631.xml><?xml version="1.0" encoding="utf-8"?>
<formControlPr xmlns="http://schemas.microsoft.com/office/spreadsheetml/2009/9/main" objectType="GBox"/>
</file>

<file path=xl/ctrlProps/ctrlProp632.xml><?xml version="1.0" encoding="utf-8"?>
<formControlPr xmlns="http://schemas.microsoft.com/office/spreadsheetml/2009/9/main" objectType="Radio" firstButton="1" fmlaLink="Consolida_PE!$K$18" lockText="1"/>
</file>

<file path=xl/ctrlProps/ctrlProp633.xml><?xml version="1.0" encoding="utf-8"?>
<formControlPr xmlns="http://schemas.microsoft.com/office/spreadsheetml/2009/9/main" objectType="Radio" lockText="1"/>
</file>

<file path=xl/ctrlProps/ctrlProp634.xml><?xml version="1.0" encoding="utf-8"?>
<formControlPr xmlns="http://schemas.microsoft.com/office/spreadsheetml/2009/9/main" objectType="Radio" lockText="1"/>
</file>

<file path=xl/ctrlProps/ctrlProp635.xml><?xml version="1.0" encoding="utf-8"?>
<formControlPr xmlns="http://schemas.microsoft.com/office/spreadsheetml/2009/9/main" objectType="Radio" lockText="1"/>
</file>

<file path=xl/ctrlProps/ctrlProp636.xml><?xml version="1.0" encoding="utf-8"?>
<formControlPr xmlns="http://schemas.microsoft.com/office/spreadsheetml/2009/9/main" objectType="Radio" lockText="1"/>
</file>

<file path=xl/ctrlProps/ctrlProp637.xml><?xml version="1.0" encoding="utf-8"?>
<formControlPr xmlns="http://schemas.microsoft.com/office/spreadsheetml/2009/9/main" objectType="GBox"/>
</file>

<file path=xl/ctrlProps/ctrlProp638.xml><?xml version="1.0" encoding="utf-8"?>
<formControlPr xmlns="http://schemas.microsoft.com/office/spreadsheetml/2009/9/main" objectType="Radio" firstButton="1" fmlaLink="Consolida_PE!$K$19" lockText="1"/>
</file>

<file path=xl/ctrlProps/ctrlProp639.xml><?xml version="1.0" encoding="utf-8"?>
<formControlPr xmlns="http://schemas.microsoft.com/office/spreadsheetml/2009/9/main" objectType="Radio" lockText="1"/>
</file>

<file path=xl/ctrlProps/ctrlProp640.xml><?xml version="1.0" encoding="utf-8"?>
<formControlPr xmlns="http://schemas.microsoft.com/office/spreadsheetml/2009/9/main" objectType="Radio" lockText="1"/>
</file>

<file path=xl/ctrlProps/ctrlProp641.xml><?xml version="1.0" encoding="utf-8"?>
<formControlPr xmlns="http://schemas.microsoft.com/office/spreadsheetml/2009/9/main" objectType="Radio" lockText="1"/>
</file>

<file path=xl/ctrlProps/ctrlProp642.xml><?xml version="1.0" encoding="utf-8"?>
<formControlPr xmlns="http://schemas.microsoft.com/office/spreadsheetml/2009/9/main" objectType="Radio" lockText="1"/>
</file>

<file path=xl/ctrlProps/ctrlProp643.xml><?xml version="1.0" encoding="utf-8"?>
<formControlPr xmlns="http://schemas.microsoft.com/office/spreadsheetml/2009/9/main" objectType="GBox"/>
</file>

<file path=xl/ctrlProps/ctrlProp644.xml><?xml version="1.0" encoding="utf-8"?>
<formControlPr xmlns="http://schemas.microsoft.com/office/spreadsheetml/2009/9/main" objectType="Radio" firstButton="1" fmlaLink="Consolida_PE!$K$20" lockText="1"/>
</file>

<file path=xl/ctrlProps/ctrlProp645.xml><?xml version="1.0" encoding="utf-8"?>
<formControlPr xmlns="http://schemas.microsoft.com/office/spreadsheetml/2009/9/main" objectType="Radio" lockText="1"/>
</file>

<file path=xl/ctrlProps/ctrlProp646.xml><?xml version="1.0" encoding="utf-8"?>
<formControlPr xmlns="http://schemas.microsoft.com/office/spreadsheetml/2009/9/main" objectType="Radio" lockText="1"/>
</file>

<file path=xl/ctrlProps/ctrlProp647.xml><?xml version="1.0" encoding="utf-8"?>
<formControlPr xmlns="http://schemas.microsoft.com/office/spreadsheetml/2009/9/main" objectType="Radio" lockText="1"/>
</file>

<file path=xl/ctrlProps/ctrlProp648.xml><?xml version="1.0" encoding="utf-8"?>
<formControlPr xmlns="http://schemas.microsoft.com/office/spreadsheetml/2009/9/main" objectType="Radio" lockText="1"/>
</file>

<file path=xl/ctrlProps/ctrlProp649.xml><?xml version="1.0" encoding="utf-8"?>
<formControlPr xmlns="http://schemas.microsoft.com/office/spreadsheetml/2009/9/main" objectType="GBox"/>
</file>

<file path=xl/ctrlProps/ctrlProp650.xml><?xml version="1.0" encoding="utf-8"?>
<formControlPr xmlns="http://schemas.microsoft.com/office/spreadsheetml/2009/9/main" objectType="Radio" firstButton="1" fmlaLink="Consolida_PE!$K$21" lockText="1"/>
</file>

<file path=xl/ctrlProps/ctrlProp651.xml><?xml version="1.0" encoding="utf-8"?>
<formControlPr xmlns="http://schemas.microsoft.com/office/spreadsheetml/2009/9/main" objectType="Radio" lockText="1"/>
</file>

<file path=xl/ctrlProps/ctrlProp652.xml><?xml version="1.0" encoding="utf-8"?>
<formControlPr xmlns="http://schemas.microsoft.com/office/spreadsheetml/2009/9/main" objectType="Radio" lockText="1"/>
</file>

<file path=xl/ctrlProps/ctrlProp653.xml><?xml version="1.0" encoding="utf-8"?>
<formControlPr xmlns="http://schemas.microsoft.com/office/spreadsheetml/2009/9/main" objectType="Radio" lockText="1"/>
</file>

<file path=xl/ctrlProps/ctrlProp654.xml><?xml version="1.0" encoding="utf-8"?>
<formControlPr xmlns="http://schemas.microsoft.com/office/spreadsheetml/2009/9/main" objectType="Radio" lockText="1"/>
</file>

<file path=xl/ctrlProps/ctrlProp655.xml><?xml version="1.0" encoding="utf-8"?>
<formControlPr xmlns="http://schemas.microsoft.com/office/spreadsheetml/2009/9/main" objectType="GBox"/>
</file>

<file path=xl/ctrlProps/ctrlProp656.xml><?xml version="1.0" encoding="utf-8"?>
<formControlPr xmlns="http://schemas.microsoft.com/office/spreadsheetml/2009/9/main" objectType="Radio" firstButton="1" fmlaLink="Consolida_PE!$K$22" lockText="1"/>
</file>

<file path=xl/ctrlProps/ctrlProp657.xml><?xml version="1.0" encoding="utf-8"?>
<formControlPr xmlns="http://schemas.microsoft.com/office/spreadsheetml/2009/9/main" objectType="Radio" lockText="1"/>
</file>

<file path=xl/ctrlProps/ctrlProp658.xml><?xml version="1.0" encoding="utf-8"?>
<formControlPr xmlns="http://schemas.microsoft.com/office/spreadsheetml/2009/9/main" objectType="Radio" lockText="1"/>
</file>

<file path=xl/ctrlProps/ctrlProp659.xml><?xml version="1.0" encoding="utf-8"?>
<formControlPr xmlns="http://schemas.microsoft.com/office/spreadsheetml/2009/9/main" objectType="Radio" lockText="1"/>
</file>

<file path=xl/ctrlProps/ctrlProp660.xml><?xml version="1.0" encoding="utf-8"?>
<formControlPr xmlns="http://schemas.microsoft.com/office/spreadsheetml/2009/9/main" objectType="Radio" lockText="1"/>
</file>

<file path=xl/ctrlProps/ctrlProp661.xml><?xml version="1.0" encoding="utf-8"?>
<formControlPr xmlns="http://schemas.microsoft.com/office/spreadsheetml/2009/9/main" objectType="GBox"/>
</file>

<file path=xl/ctrlProps/ctrlProp662.xml><?xml version="1.0" encoding="utf-8"?>
<formControlPr xmlns="http://schemas.microsoft.com/office/spreadsheetml/2009/9/main" objectType="Radio" firstButton="1" fmlaLink="Consolida_PE!$K$23" lockText="1"/>
</file>

<file path=xl/ctrlProps/ctrlProp663.xml><?xml version="1.0" encoding="utf-8"?>
<formControlPr xmlns="http://schemas.microsoft.com/office/spreadsheetml/2009/9/main" objectType="Radio" lockText="1"/>
</file>

<file path=xl/ctrlProps/ctrlProp664.xml><?xml version="1.0" encoding="utf-8"?>
<formControlPr xmlns="http://schemas.microsoft.com/office/spreadsheetml/2009/9/main" objectType="Radio" lockText="1"/>
</file>

<file path=xl/ctrlProps/ctrlProp665.xml><?xml version="1.0" encoding="utf-8"?>
<formControlPr xmlns="http://schemas.microsoft.com/office/spreadsheetml/2009/9/main" objectType="Radio" lockText="1"/>
</file>

<file path=xl/ctrlProps/ctrlProp666.xml><?xml version="1.0" encoding="utf-8"?>
<formControlPr xmlns="http://schemas.microsoft.com/office/spreadsheetml/2009/9/main" objectType="Radio" lockText="1"/>
</file>

<file path=xl/ctrlProps/ctrlProp667.xml><?xml version="1.0" encoding="utf-8"?>
<formControlPr xmlns="http://schemas.microsoft.com/office/spreadsheetml/2009/9/main" objectType="GBox"/>
</file>

<file path=xl/ctrlProps/ctrlProp668.xml><?xml version="1.0" encoding="utf-8"?>
<formControlPr xmlns="http://schemas.microsoft.com/office/spreadsheetml/2009/9/main" objectType="Radio" firstButton="1" fmlaLink="Consolida_PE!$K$24" lockText="1"/>
</file>

<file path=xl/ctrlProps/ctrlProp669.xml><?xml version="1.0" encoding="utf-8"?>
<formControlPr xmlns="http://schemas.microsoft.com/office/spreadsheetml/2009/9/main" objectType="Radio" lockText="1"/>
</file>

<file path=xl/ctrlProps/ctrlProp670.xml><?xml version="1.0" encoding="utf-8"?>
<formControlPr xmlns="http://schemas.microsoft.com/office/spreadsheetml/2009/9/main" objectType="Radio" lockText="1"/>
</file>

<file path=xl/ctrlProps/ctrlProp671.xml><?xml version="1.0" encoding="utf-8"?>
<formControlPr xmlns="http://schemas.microsoft.com/office/spreadsheetml/2009/9/main" objectType="Radio" lockText="1"/>
</file>

<file path=xl/ctrlProps/ctrlProp672.xml><?xml version="1.0" encoding="utf-8"?>
<formControlPr xmlns="http://schemas.microsoft.com/office/spreadsheetml/2009/9/main" objectType="Radio" lockText="1"/>
</file>

<file path=xl/ctrlProps/ctrlProp673.xml><?xml version="1.0" encoding="utf-8"?>
<formControlPr xmlns="http://schemas.microsoft.com/office/spreadsheetml/2009/9/main" objectType="GBox"/>
</file>

<file path=xl/ctrlProps/ctrlProp674.xml><?xml version="1.0" encoding="utf-8"?>
<formControlPr xmlns="http://schemas.microsoft.com/office/spreadsheetml/2009/9/main" objectType="Radio" firstButton="1" fmlaLink="Consolida_PE!$K$25" lockText="1"/>
</file>

<file path=xl/ctrlProps/ctrlProp675.xml><?xml version="1.0" encoding="utf-8"?>
<formControlPr xmlns="http://schemas.microsoft.com/office/spreadsheetml/2009/9/main" objectType="Radio" lockText="1"/>
</file>

<file path=xl/ctrlProps/ctrlProp676.xml><?xml version="1.0" encoding="utf-8"?>
<formControlPr xmlns="http://schemas.microsoft.com/office/spreadsheetml/2009/9/main" objectType="Radio" lockText="1"/>
</file>

<file path=xl/ctrlProps/ctrlProp677.xml><?xml version="1.0" encoding="utf-8"?>
<formControlPr xmlns="http://schemas.microsoft.com/office/spreadsheetml/2009/9/main" objectType="Radio" lockText="1"/>
</file>

<file path=xl/ctrlProps/ctrlProp678.xml><?xml version="1.0" encoding="utf-8"?>
<formControlPr xmlns="http://schemas.microsoft.com/office/spreadsheetml/2009/9/main" objectType="Radio" lockText="1"/>
</file>

<file path=xl/ctrlProps/ctrlProp679.xml><?xml version="1.0" encoding="utf-8"?>
<formControlPr xmlns="http://schemas.microsoft.com/office/spreadsheetml/2009/9/main" objectType="GBox"/>
</file>

<file path=xl/ctrlProps/ctrlProp680.xml><?xml version="1.0" encoding="utf-8"?>
<formControlPr xmlns="http://schemas.microsoft.com/office/spreadsheetml/2009/9/main" objectType="Radio" firstButton="1" fmlaLink="Consolida_PE!$K$26" lockText="1"/>
</file>

<file path=xl/ctrlProps/ctrlProp681.xml><?xml version="1.0" encoding="utf-8"?>
<formControlPr xmlns="http://schemas.microsoft.com/office/spreadsheetml/2009/9/main" objectType="Radio" lockText="1"/>
</file>

<file path=xl/ctrlProps/ctrlProp682.xml><?xml version="1.0" encoding="utf-8"?>
<formControlPr xmlns="http://schemas.microsoft.com/office/spreadsheetml/2009/9/main" objectType="Radio" lockText="1"/>
</file>

<file path=xl/ctrlProps/ctrlProp683.xml><?xml version="1.0" encoding="utf-8"?>
<formControlPr xmlns="http://schemas.microsoft.com/office/spreadsheetml/2009/9/main" objectType="Radio" lockText="1"/>
</file>

<file path=xl/ctrlProps/ctrlProp684.xml><?xml version="1.0" encoding="utf-8"?>
<formControlPr xmlns="http://schemas.microsoft.com/office/spreadsheetml/2009/9/main" objectType="Radio" lockText="1"/>
</file>

<file path=xl/ctrlProps/ctrlProp685.xml><?xml version="1.0" encoding="utf-8"?>
<formControlPr xmlns="http://schemas.microsoft.com/office/spreadsheetml/2009/9/main" objectType="GBox"/>
</file>

<file path=xl/ctrlProps/ctrlProp686.xml><?xml version="1.0" encoding="utf-8"?>
<formControlPr xmlns="http://schemas.microsoft.com/office/spreadsheetml/2009/9/main" objectType="Radio" firstButton="1" fmlaLink="Consolida_PE!$K$27" lockText="1"/>
</file>

<file path=xl/ctrlProps/ctrlProp687.xml><?xml version="1.0" encoding="utf-8"?>
<formControlPr xmlns="http://schemas.microsoft.com/office/spreadsheetml/2009/9/main" objectType="Radio" lockText="1"/>
</file>

<file path=xl/ctrlProps/ctrlProp688.xml><?xml version="1.0" encoding="utf-8"?>
<formControlPr xmlns="http://schemas.microsoft.com/office/spreadsheetml/2009/9/main" objectType="Radio" lockText="1"/>
</file>

<file path=xl/ctrlProps/ctrlProp689.xml><?xml version="1.0" encoding="utf-8"?>
<formControlPr xmlns="http://schemas.microsoft.com/office/spreadsheetml/2009/9/main" objectType="Radio" lockText="1"/>
</file>

<file path=xl/ctrlProps/ctrlProp690.xml><?xml version="1.0" encoding="utf-8"?>
<formControlPr xmlns="http://schemas.microsoft.com/office/spreadsheetml/2009/9/main" objectType="Radio" lockText="1"/>
</file>

<file path=xl/ctrlProps/ctrlProp691.xml><?xml version="1.0" encoding="utf-8"?>
<formControlPr xmlns="http://schemas.microsoft.com/office/spreadsheetml/2009/9/main" objectType="GBox"/>
</file>

<file path=xl/ctrlProps/ctrlProp692.xml><?xml version="1.0" encoding="utf-8"?>
<formControlPr xmlns="http://schemas.microsoft.com/office/spreadsheetml/2009/9/main" objectType="Radio" firstButton="1" fmlaLink="Consolida_PE!$K$28" lockText="1"/>
</file>

<file path=xl/ctrlProps/ctrlProp693.xml><?xml version="1.0" encoding="utf-8"?>
<formControlPr xmlns="http://schemas.microsoft.com/office/spreadsheetml/2009/9/main" objectType="Radio" lockText="1"/>
</file>

<file path=xl/ctrlProps/ctrlProp694.xml><?xml version="1.0" encoding="utf-8"?>
<formControlPr xmlns="http://schemas.microsoft.com/office/spreadsheetml/2009/9/main" objectType="Radio" lockText="1"/>
</file>

<file path=xl/ctrlProps/ctrlProp695.xml><?xml version="1.0" encoding="utf-8"?>
<formControlPr xmlns="http://schemas.microsoft.com/office/spreadsheetml/2009/9/main" objectType="Radio" lockText="1"/>
</file>

<file path=xl/ctrlProps/ctrlProp696.xml><?xml version="1.0" encoding="utf-8"?>
<formControlPr xmlns="http://schemas.microsoft.com/office/spreadsheetml/2009/9/main" objectType="Radio" lockText="1"/>
</file>

<file path=xl/ctrlProps/ctrlProp697.xml><?xml version="1.0" encoding="utf-8"?>
<formControlPr xmlns="http://schemas.microsoft.com/office/spreadsheetml/2009/9/main" objectType="GBox"/>
</file>

<file path=xl/ctrlProps/ctrlProp698.xml><?xml version="1.0" encoding="utf-8"?>
<formControlPr xmlns="http://schemas.microsoft.com/office/spreadsheetml/2009/9/main" objectType="Radio" firstButton="1" fmlaLink="Consolida_PE!$K$29" lockText="1"/>
</file>

<file path=xl/ctrlProps/ctrlProp699.xml><?xml version="1.0" encoding="utf-8"?>
<formControlPr xmlns="http://schemas.microsoft.com/office/spreadsheetml/2009/9/main" objectType="Radio" lockText="1"/>
</file>

<file path=xl/ctrlProps/ctrlProp700.xml><?xml version="1.0" encoding="utf-8"?>
<formControlPr xmlns="http://schemas.microsoft.com/office/spreadsheetml/2009/9/main" objectType="Radio" lockText="1"/>
</file>

<file path=xl/ctrlProps/ctrlProp701.xml><?xml version="1.0" encoding="utf-8"?>
<formControlPr xmlns="http://schemas.microsoft.com/office/spreadsheetml/2009/9/main" objectType="Radio" lockText="1"/>
</file>

<file path=xl/ctrlProps/ctrlProp702.xml><?xml version="1.0" encoding="utf-8"?>
<formControlPr xmlns="http://schemas.microsoft.com/office/spreadsheetml/2009/9/main" objectType="Radio" lockText="1"/>
</file>

<file path=xl/ctrlProps/ctrlProp703.xml><?xml version="1.0" encoding="utf-8"?>
<formControlPr xmlns="http://schemas.microsoft.com/office/spreadsheetml/2009/9/main" objectType="GBox"/>
</file>

<file path=xl/ctrlProps/ctrlProp704.xml><?xml version="1.0" encoding="utf-8"?>
<formControlPr xmlns="http://schemas.microsoft.com/office/spreadsheetml/2009/9/main" objectType="Radio" firstButton="1" fmlaLink="Consolida_PE!$K$30" lockText="1"/>
</file>

<file path=xl/ctrlProps/ctrlProp705.xml><?xml version="1.0" encoding="utf-8"?>
<formControlPr xmlns="http://schemas.microsoft.com/office/spreadsheetml/2009/9/main" objectType="Radio" lockText="1"/>
</file>

<file path=xl/ctrlProps/ctrlProp706.xml><?xml version="1.0" encoding="utf-8"?>
<formControlPr xmlns="http://schemas.microsoft.com/office/spreadsheetml/2009/9/main" objectType="Radio" lockText="1"/>
</file>

<file path=xl/ctrlProps/ctrlProp707.xml><?xml version="1.0" encoding="utf-8"?>
<formControlPr xmlns="http://schemas.microsoft.com/office/spreadsheetml/2009/9/main" objectType="Radio" lockText="1"/>
</file>

<file path=xl/ctrlProps/ctrlProp708.xml><?xml version="1.0" encoding="utf-8"?>
<formControlPr xmlns="http://schemas.microsoft.com/office/spreadsheetml/2009/9/main" objectType="Radio" lockText="1"/>
</file>

<file path=xl/ctrlProps/ctrlProp709.xml><?xml version="1.0" encoding="utf-8"?>
<formControlPr xmlns="http://schemas.microsoft.com/office/spreadsheetml/2009/9/main" objectType="GBox"/>
</file>

<file path=xl/ctrlProps/ctrlProp710.xml><?xml version="1.0" encoding="utf-8"?>
<formControlPr xmlns="http://schemas.microsoft.com/office/spreadsheetml/2009/9/main" objectType="Radio" firstButton="1" fmlaLink="Consolida_PE!$K$31" lockText="1"/>
</file>

<file path=xl/ctrlProps/ctrlProp711.xml><?xml version="1.0" encoding="utf-8"?>
<formControlPr xmlns="http://schemas.microsoft.com/office/spreadsheetml/2009/9/main" objectType="Radio" lockText="1"/>
</file>

<file path=xl/ctrlProps/ctrlProp712.xml><?xml version="1.0" encoding="utf-8"?>
<formControlPr xmlns="http://schemas.microsoft.com/office/spreadsheetml/2009/9/main" objectType="Radio" lockText="1"/>
</file>

<file path=xl/ctrlProps/ctrlProp713.xml><?xml version="1.0" encoding="utf-8"?>
<formControlPr xmlns="http://schemas.microsoft.com/office/spreadsheetml/2009/9/main" objectType="Radio" lockText="1"/>
</file>

<file path=xl/ctrlProps/ctrlProp714.xml><?xml version="1.0" encoding="utf-8"?>
<formControlPr xmlns="http://schemas.microsoft.com/office/spreadsheetml/2009/9/main" objectType="Radio" lockText="1"/>
</file>

<file path=xl/ctrlProps/ctrlProp715.xml><?xml version="1.0" encoding="utf-8"?>
<formControlPr xmlns="http://schemas.microsoft.com/office/spreadsheetml/2009/9/main" objectType="GBox"/>
</file>

<file path=xl/ctrlProps/ctrlProp716.xml><?xml version="1.0" encoding="utf-8"?>
<formControlPr xmlns="http://schemas.microsoft.com/office/spreadsheetml/2009/9/main" objectType="Radio" firstButton="1" fmlaLink="Consolida_PE!$K$32" lockText="1"/>
</file>

<file path=xl/ctrlProps/ctrlProp717.xml><?xml version="1.0" encoding="utf-8"?>
<formControlPr xmlns="http://schemas.microsoft.com/office/spreadsheetml/2009/9/main" objectType="Radio" lockText="1"/>
</file>

<file path=xl/ctrlProps/ctrlProp718.xml><?xml version="1.0" encoding="utf-8"?>
<formControlPr xmlns="http://schemas.microsoft.com/office/spreadsheetml/2009/9/main" objectType="Radio" lockText="1"/>
</file>

<file path=xl/ctrlProps/ctrlProp719.xml><?xml version="1.0" encoding="utf-8"?>
<formControlPr xmlns="http://schemas.microsoft.com/office/spreadsheetml/2009/9/main" objectType="Radio" lockText="1"/>
</file>

<file path=xl/ctrlProps/ctrlProp720.xml><?xml version="1.0" encoding="utf-8"?>
<formControlPr xmlns="http://schemas.microsoft.com/office/spreadsheetml/2009/9/main" objectType="Radio" lockText="1"/>
</file>

<file path=xl/ctrlProps/ctrlProp721.xml><?xml version="1.0" encoding="utf-8"?>
<formControlPr xmlns="http://schemas.microsoft.com/office/spreadsheetml/2009/9/main" objectType="GBox"/>
</file>

<file path=xl/ctrlProps/ctrlProp722.xml><?xml version="1.0" encoding="utf-8"?>
<formControlPr xmlns="http://schemas.microsoft.com/office/spreadsheetml/2009/9/main" objectType="Radio" firstButton="1" fmlaLink="Consolida_Dimensões_Analítico!$G$3" lockText="1"/>
</file>

<file path=xl/ctrlProps/ctrlProp723.xml><?xml version="1.0" encoding="utf-8"?>
<formControlPr xmlns="http://schemas.microsoft.com/office/spreadsheetml/2009/9/main" objectType="Radio" lockText="1"/>
</file>

<file path=xl/ctrlProps/ctrlProp724.xml><?xml version="1.0" encoding="utf-8"?>
<formControlPr xmlns="http://schemas.microsoft.com/office/spreadsheetml/2009/9/main" objectType="Radio" lockText="1"/>
</file>

<file path=xl/ctrlProps/ctrlProp725.xml><?xml version="1.0" encoding="utf-8"?>
<formControlPr xmlns="http://schemas.microsoft.com/office/spreadsheetml/2009/9/main" objectType="Radio" lockText="1"/>
</file>

<file path=xl/ctrlProps/ctrlProp726.xml><?xml version="1.0" encoding="utf-8"?>
<formControlPr xmlns="http://schemas.microsoft.com/office/spreadsheetml/2009/9/main" objectType="Radio" firstButton="1" fmlaLink="Consolida_Dimensões_Analítico!$G$4" lockText="1"/>
</file>

<file path=xl/ctrlProps/ctrlProp727.xml><?xml version="1.0" encoding="utf-8"?>
<formControlPr xmlns="http://schemas.microsoft.com/office/spreadsheetml/2009/9/main" objectType="Radio" lockText="1"/>
</file>

<file path=xl/ctrlProps/ctrlProp728.xml><?xml version="1.0" encoding="utf-8"?>
<formControlPr xmlns="http://schemas.microsoft.com/office/spreadsheetml/2009/9/main" objectType="Radio" lockText="1"/>
</file>

<file path=xl/ctrlProps/ctrlProp729.xml><?xml version="1.0" encoding="utf-8"?>
<formControlPr xmlns="http://schemas.microsoft.com/office/spreadsheetml/2009/9/main" objectType="Radio" lockText="1"/>
</file>

<file path=xl/ctrlProps/ctrlProp730.xml><?xml version="1.0" encoding="utf-8"?>
<formControlPr xmlns="http://schemas.microsoft.com/office/spreadsheetml/2009/9/main" objectType="GBox"/>
</file>

<file path=xl/ctrlProps/ctrlProp731.xml><?xml version="1.0" encoding="utf-8"?>
<formControlPr xmlns="http://schemas.microsoft.com/office/spreadsheetml/2009/9/main" objectType="Radio" firstButton="1" fmlaLink="Consolida_Dimensões_Analítico!$G$5" lockText="1"/>
</file>

<file path=xl/ctrlProps/ctrlProp732.xml><?xml version="1.0" encoding="utf-8"?>
<formControlPr xmlns="http://schemas.microsoft.com/office/spreadsheetml/2009/9/main" objectType="Radio" lockText="1"/>
</file>

<file path=xl/ctrlProps/ctrlProp733.xml><?xml version="1.0" encoding="utf-8"?>
<formControlPr xmlns="http://schemas.microsoft.com/office/spreadsheetml/2009/9/main" objectType="Radio" lockText="1"/>
</file>

<file path=xl/ctrlProps/ctrlProp734.xml><?xml version="1.0" encoding="utf-8"?>
<formControlPr xmlns="http://schemas.microsoft.com/office/spreadsheetml/2009/9/main" objectType="Radio" lockText="1"/>
</file>

<file path=xl/ctrlProps/ctrlProp735.xml><?xml version="1.0" encoding="utf-8"?>
<formControlPr xmlns="http://schemas.microsoft.com/office/spreadsheetml/2009/9/main" objectType="GBox"/>
</file>

<file path=xl/ctrlProps/ctrlProp736.xml><?xml version="1.0" encoding="utf-8"?>
<formControlPr xmlns="http://schemas.microsoft.com/office/spreadsheetml/2009/9/main" objectType="Radio" firstButton="1" fmlaLink="Consolida_Dimensões_Analítico!$G$6" lockText="1"/>
</file>

<file path=xl/ctrlProps/ctrlProp737.xml><?xml version="1.0" encoding="utf-8"?>
<formControlPr xmlns="http://schemas.microsoft.com/office/spreadsheetml/2009/9/main" objectType="Radio" lockText="1"/>
</file>

<file path=xl/ctrlProps/ctrlProp738.xml><?xml version="1.0" encoding="utf-8"?>
<formControlPr xmlns="http://schemas.microsoft.com/office/spreadsheetml/2009/9/main" objectType="Radio" lockText="1"/>
</file>

<file path=xl/ctrlProps/ctrlProp739.xml><?xml version="1.0" encoding="utf-8"?>
<formControlPr xmlns="http://schemas.microsoft.com/office/spreadsheetml/2009/9/main" objectType="Radio" lockText="1"/>
</file>

<file path=xl/ctrlProps/ctrlProp740.xml><?xml version="1.0" encoding="utf-8"?>
<formControlPr xmlns="http://schemas.microsoft.com/office/spreadsheetml/2009/9/main" objectType="GBox"/>
</file>

<file path=xl/ctrlProps/ctrlProp741.xml><?xml version="1.0" encoding="utf-8"?>
<formControlPr xmlns="http://schemas.microsoft.com/office/spreadsheetml/2009/9/main" objectType="Radio" firstButton="1" fmlaLink="Consolida_Dimensões_Analítico!$G$7" lockText="1"/>
</file>

<file path=xl/ctrlProps/ctrlProp742.xml><?xml version="1.0" encoding="utf-8"?>
<formControlPr xmlns="http://schemas.microsoft.com/office/spreadsheetml/2009/9/main" objectType="Radio" lockText="1"/>
</file>

<file path=xl/ctrlProps/ctrlProp743.xml><?xml version="1.0" encoding="utf-8"?>
<formControlPr xmlns="http://schemas.microsoft.com/office/spreadsheetml/2009/9/main" objectType="Radio" lockText="1"/>
</file>

<file path=xl/ctrlProps/ctrlProp744.xml><?xml version="1.0" encoding="utf-8"?>
<formControlPr xmlns="http://schemas.microsoft.com/office/spreadsheetml/2009/9/main" objectType="Radio" lockText="1"/>
</file>

<file path=xl/ctrlProps/ctrlProp745.xml><?xml version="1.0" encoding="utf-8"?>
<formControlPr xmlns="http://schemas.microsoft.com/office/spreadsheetml/2009/9/main" objectType="GBox"/>
</file>

<file path=xl/ctrlProps/ctrlProp746.xml><?xml version="1.0" encoding="utf-8"?>
<formControlPr xmlns="http://schemas.microsoft.com/office/spreadsheetml/2009/9/main" objectType="Radio" firstButton="1" fmlaLink="Consolida_Dimensões_Analítico!$G$8" lockText="1"/>
</file>

<file path=xl/ctrlProps/ctrlProp747.xml><?xml version="1.0" encoding="utf-8"?>
<formControlPr xmlns="http://schemas.microsoft.com/office/spreadsheetml/2009/9/main" objectType="Radio" lockText="1"/>
</file>

<file path=xl/ctrlProps/ctrlProp748.xml><?xml version="1.0" encoding="utf-8"?>
<formControlPr xmlns="http://schemas.microsoft.com/office/spreadsheetml/2009/9/main" objectType="Radio" lockText="1"/>
</file>

<file path=xl/ctrlProps/ctrlProp749.xml><?xml version="1.0" encoding="utf-8"?>
<formControlPr xmlns="http://schemas.microsoft.com/office/spreadsheetml/2009/9/main" objectType="Radio" lockText="1"/>
</file>

<file path=xl/ctrlProps/ctrlProp750.xml><?xml version="1.0" encoding="utf-8"?>
<formControlPr xmlns="http://schemas.microsoft.com/office/spreadsheetml/2009/9/main" objectType="GBox"/>
</file>

<file path=xl/ctrlProps/ctrlProp751.xml><?xml version="1.0" encoding="utf-8"?>
<formControlPr xmlns="http://schemas.microsoft.com/office/spreadsheetml/2009/9/main" objectType="Radio" firstButton="1" fmlaLink="Consolida_Dimensões_Analítico!$G$9" lockText="1"/>
</file>

<file path=xl/ctrlProps/ctrlProp752.xml><?xml version="1.0" encoding="utf-8"?>
<formControlPr xmlns="http://schemas.microsoft.com/office/spreadsheetml/2009/9/main" objectType="Radio" lockText="1"/>
</file>

<file path=xl/ctrlProps/ctrlProp753.xml><?xml version="1.0" encoding="utf-8"?>
<formControlPr xmlns="http://schemas.microsoft.com/office/spreadsheetml/2009/9/main" objectType="Radio" lockText="1"/>
</file>

<file path=xl/ctrlProps/ctrlProp754.xml><?xml version="1.0" encoding="utf-8"?>
<formControlPr xmlns="http://schemas.microsoft.com/office/spreadsheetml/2009/9/main" objectType="Radio" lockText="1"/>
</file>

<file path=xl/ctrlProps/ctrlProp755.xml><?xml version="1.0" encoding="utf-8"?>
<formControlPr xmlns="http://schemas.microsoft.com/office/spreadsheetml/2009/9/main" objectType="GBox"/>
</file>

<file path=xl/ctrlProps/ctrlProp756.xml><?xml version="1.0" encoding="utf-8"?>
<formControlPr xmlns="http://schemas.microsoft.com/office/spreadsheetml/2009/9/main" objectType="Radio" firstButton="1" fmlaLink="Consolida_Dimensões_Analítico!$G$10" lockText="1"/>
</file>

<file path=xl/ctrlProps/ctrlProp757.xml><?xml version="1.0" encoding="utf-8"?>
<formControlPr xmlns="http://schemas.microsoft.com/office/spreadsheetml/2009/9/main" objectType="Radio" lockText="1"/>
</file>

<file path=xl/ctrlProps/ctrlProp758.xml><?xml version="1.0" encoding="utf-8"?>
<formControlPr xmlns="http://schemas.microsoft.com/office/spreadsheetml/2009/9/main" objectType="Radio" lockText="1"/>
</file>

<file path=xl/ctrlProps/ctrlProp759.xml><?xml version="1.0" encoding="utf-8"?>
<formControlPr xmlns="http://schemas.microsoft.com/office/spreadsheetml/2009/9/main" objectType="Radio" lockText="1"/>
</file>

<file path=xl/ctrlProps/ctrlProp760.xml><?xml version="1.0" encoding="utf-8"?>
<formControlPr xmlns="http://schemas.microsoft.com/office/spreadsheetml/2009/9/main" objectType="GBox"/>
</file>

<file path=xl/ctrlProps/ctrlProp761.xml><?xml version="1.0" encoding="utf-8"?>
<formControlPr xmlns="http://schemas.microsoft.com/office/spreadsheetml/2009/9/main" objectType="Radio" firstButton="1" fmlaLink="Consolida_Dimensões_Analítico!$G$11" lockText="1"/>
</file>

<file path=xl/ctrlProps/ctrlProp762.xml><?xml version="1.0" encoding="utf-8"?>
<formControlPr xmlns="http://schemas.microsoft.com/office/spreadsheetml/2009/9/main" objectType="Radio" lockText="1"/>
</file>

<file path=xl/ctrlProps/ctrlProp763.xml><?xml version="1.0" encoding="utf-8"?>
<formControlPr xmlns="http://schemas.microsoft.com/office/spreadsheetml/2009/9/main" objectType="Radio" lockText="1"/>
</file>

<file path=xl/ctrlProps/ctrlProp764.xml><?xml version="1.0" encoding="utf-8"?>
<formControlPr xmlns="http://schemas.microsoft.com/office/spreadsheetml/2009/9/main" objectType="Radio" lockText="1"/>
</file>

<file path=xl/ctrlProps/ctrlProp765.xml><?xml version="1.0" encoding="utf-8"?>
<formControlPr xmlns="http://schemas.microsoft.com/office/spreadsheetml/2009/9/main" objectType="GBox"/>
</file>

<file path=xl/ctrlProps/ctrlProp766.xml><?xml version="1.0" encoding="utf-8"?>
<formControlPr xmlns="http://schemas.microsoft.com/office/spreadsheetml/2009/9/main" objectType="GBox"/>
</file>

<file path=xl/ctrlProps/ctrlProp767.xml><?xml version="1.0" encoding="utf-8"?>
<formControlPr xmlns="http://schemas.microsoft.com/office/spreadsheetml/2009/9/main" objectType="Radio" firstButton="1" fmlaLink="Consolida_Dimensões_Analítico!$G$12" lockText="1"/>
</file>

<file path=xl/ctrlProps/ctrlProp768.xml><?xml version="1.0" encoding="utf-8"?>
<formControlPr xmlns="http://schemas.microsoft.com/office/spreadsheetml/2009/9/main" objectType="Radio" lockText="1"/>
</file>

<file path=xl/ctrlProps/ctrlProp769.xml><?xml version="1.0" encoding="utf-8"?>
<formControlPr xmlns="http://schemas.microsoft.com/office/spreadsheetml/2009/9/main" objectType="Radio" lockText="1"/>
</file>

<file path=xl/ctrlProps/ctrlProp770.xml><?xml version="1.0" encoding="utf-8"?>
<formControlPr xmlns="http://schemas.microsoft.com/office/spreadsheetml/2009/9/main" objectType="Radio" lockText="1"/>
</file>

<file path=xl/ctrlProps/ctrlProp771.xml><?xml version="1.0" encoding="utf-8"?>
<formControlPr xmlns="http://schemas.microsoft.com/office/spreadsheetml/2009/9/main" objectType="GBox"/>
</file>

<file path=xl/ctrlProps/ctrlProp772.xml><?xml version="1.0" encoding="utf-8"?>
<formControlPr xmlns="http://schemas.microsoft.com/office/spreadsheetml/2009/9/main" objectType="Radio" firstButton="1" fmlaLink="Consolida_Dimensões_Analítico!$G$13" lockText="1"/>
</file>

<file path=xl/ctrlProps/ctrlProp773.xml><?xml version="1.0" encoding="utf-8"?>
<formControlPr xmlns="http://schemas.microsoft.com/office/spreadsheetml/2009/9/main" objectType="Radio" lockText="1"/>
</file>

<file path=xl/ctrlProps/ctrlProp774.xml><?xml version="1.0" encoding="utf-8"?>
<formControlPr xmlns="http://schemas.microsoft.com/office/spreadsheetml/2009/9/main" objectType="Radio" lockText="1"/>
</file>

<file path=xl/ctrlProps/ctrlProp775.xml><?xml version="1.0" encoding="utf-8"?>
<formControlPr xmlns="http://schemas.microsoft.com/office/spreadsheetml/2009/9/main" objectType="Radio" lockText="1"/>
</file>

<file path=xl/ctrlProps/ctrlProp776.xml><?xml version="1.0" encoding="utf-8"?>
<formControlPr xmlns="http://schemas.microsoft.com/office/spreadsheetml/2009/9/main" objectType="GBox"/>
</file>

<file path=xl/ctrlProps/ctrlProp777.xml><?xml version="1.0" encoding="utf-8"?>
<formControlPr xmlns="http://schemas.microsoft.com/office/spreadsheetml/2009/9/main" objectType="Radio" firstButton="1" fmlaLink="Consolida_Dimensões_Analítico!$G$14" lockText="1"/>
</file>

<file path=xl/ctrlProps/ctrlProp778.xml><?xml version="1.0" encoding="utf-8"?>
<formControlPr xmlns="http://schemas.microsoft.com/office/spreadsheetml/2009/9/main" objectType="Radio" lockText="1"/>
</file>

<file path=xl/ctrlProps/ctrlProp779.xml><?xml version="1.0" encoding="utf-8"?>
<formControlPr xmlns="http://schemas.microsoft.com/office/spreadsheetml/2009/9/main" objectType="Radio" lockText="1"/>
</file>

<file path=xl/ctrlProps/ctrlProp780.xml><?xml version="1.0" encoding="utf-8"?>
<formControlPr xmlns="http://schemas.microsoft.com/office/spreadsheetml/2009/9/main" objectType="Radio" lockText="1"/>
</file>

<file path=xl/ctrlProps/ctrlProp781.xml><?xml version="1.0" encoding="utf-8"?>
<formControlPr xmlns="http://schemas.microsoft.com/office/spreadsheetml/2009/9/main" objectType="GBox"/>
</file>

<file path=xl/ctrlProps/ctrlProp782.xml><?xml version="1.0" encoding="utf-8"?>
<formControlPr xmlns="http://schemas.microsoft.com/office/spreadsheetml/2009/9/main" objectType="Radio" firstButton="1" fmlaLink="Consolida_Dimensões_Analítico!$G$15" lockText="1"/>
</file>

<file path=xl/ctrlProps/ctrlProp783.xml><?xml version="1.0" encoding="utf-8"?>
<formControlPr xmlns="http://schemas.microsoft.com/office/spreadsheetml/2009/9/main" objectType="Radio" lockText="1"/>
</file>

<file path=xl/ctrlProps/ctrlProp784.xml><?xml version="1.0" encoding="utf-8"?>
<formControlPr xmlns="http://schemas.microsoft.com/office/spreadsheetml/2009/9/main" objectType="Radio" lockText="1"/>
</file>

<file path=xl/ctrlProps/ctrlProp785.xml><?xml version="1.0" encoding="utf-8"?>
<formControlPr xmlns="http://schemas.microsoft.com/office/spreadsheetml/2009/9/main" objectType="Radio" lockText="1"/>
</file>

<file path=xl/ctrlProps/ctrlProp786.xml><?xml version="1.0" encoding="utf-8"?>
<formControlPr xmlns="http://schemas.microsoft.com/office/spreadsheetml/2009/9/main" objectType="GBox"/>
</file>

<file path=xl/ctrlProps/ctrlProp787.xml><?xml version="1.0" encoding="utf-8"?>
<formControlPr xmlns="http://schemas.microsoft.com/office/spreadsheetml/2009/9/main" objectType="Radio" firstButton="1" fmlaLink="Consolida_Dimensões_Analítico!$G$16" lockText="1"/>
</file>

<file path=xl/ctrlProps/ctrlProp788.xml><?xml version="1.0" encoding="utf-8"?>
<formControlPr xmlns="http://schemas.microsoft.com/office/spreadsheetml/2009/9/main" objectType="Radio" lockText="1"/>
</file>

<file path=xl/ctrlProps/ctrlProp789.xml><?xml version="1.0" encoding="utf-8"?>
<formControlPr xmlns="http://schemas.microsoft.com/office/spreadsheetml/2009/9/main" objectType="Radio" lockText="1"/>
</file>

<file path=xl/ctrlProps/ctrlProp790.xml><?xml version="1.0" encoding="utf-8"?>
<formControlPr xmlns="http://schemas.microsoft.com/office/spreadsheetml/2009/9/main" objectType="Radio" lockText="1"/>
</file>

<file path=xl/ctrlProps/ctrlProp791.xml><?xml version="1.0" encoding="utf-8"?>
<formControlPr xmlns="http://schemas.microsoft.com/office/spreadsheetml/2009/9/main" objectType="GBox"/>
</file>

<file path=xl/ctrlProps/ctrlProp792.xml><?xml version="1.0" encoding="utf-8"?>
<formControlPr xmlns="http://schemas.microsoft.com/office/spreadsheetml/2009/9/main" objectType="Radio" firstButton="1" fmlaLink="Consolida_Dimensões_Analítico!$G$17" lockText="1"/>
</file>

<file path=xl/ctrlProps/ctrlProp793.xml><?xml version="1.0" encoding="utf-8"?>
<formControlPr xmlns="http://schemas.microsoft.com/office/spreadsheetml/2009/9/main" objectType="Radio" lockText="1"/>
</file>

<file path=xl/ctrlProps/ctrlProp794.xml><?xml version="1.0" encoding="utf-8"?>
<formControlPr xmlns="http://schemas.microsoft.com/office/spreadsheetml/2009/9/main" objectType="Radio" lockText="1"/>
</file>

<file path=xl/ctrlProps/ctrlProp795.xml><?xml version="1.0" encoding="utf-8"?>
<formControlPr xmlns="http://schemas.microsoft.com/office/spreadsheetml/2009/9/main" objectType="Radio" lockText="1"/>
</file>

<file path=xl/ctrlProps/ctrlProp796.xml><?xml version="1.0" encoding="utf-8"?>
<formControlPr xmlns="http://schemas.microsoft.com/office/spreadsheetml/2009/9/main" objectType="GBox"/>
</file>

<file path=xl/ctrlProps/ctrlProp797.xml><?xml version="1.0" encoding="utf-8"?>
<formControlPr xmlns="http://schemas.microsoft.com/office/spreadsheetml/2009/9/main" objectType="Radio" firstButton="1" fmlaLink="Consolida_Dimensões_Analítico!$G$18" lockText="1"/>
</file>

<file path=xl/ctrlProps/ctrlProp798.xml><?xml version="1.0" encoding="utf-8"?>
<formControlPr xmlns="http://schemas.microsoft.com/office/spreadsheetml/2009/9/main" objectType="Radio" lockText="1"/>
</file>

<file path=xl/ctrlProps/ctrlProp799.xml><?xml version="1.0" encoding="utf-8"?>
<formControlPr xmlns="http://schemas.microsoft.com/office/spreadsheetml/2009/9/main" objectType="Radio" lockText="1"/>
</file>

<file path=xl/ctrlProps/ctrlProp800.xml><?xml version="1.0" encoding="utf-8"?>
<formControlPr xmlns="http://schemas.microsoft.com/office/spreadsheetml/2009/9/main" objectType="Radio" lockText="1"/>
</file>

<file path=xl/ctrlProps/ctrlProp801.xml><?xml version="1.0" encoding="utf-8"?>
<formControlPr xmlns="http://schemas.microsoft.com/office/spreadsheetml/2009/9/main" objectType="GBox"/>
</file>

<file path=xl/ctrlProps/ctrlProp802.xml><?xml version="1.0" encoding="utf-8"?>
<formControlPr xmlns="http://schemas.microsoft.com/office/spreadsheetml/2009/9/main" objectType="Radio" firstButton="1" fmlaLink="Consolida_Dimensões_Analítico!$G$19" lockText="1"/>
</file>

<file path=xl/ctrlProps/ctrlProp803.xml><?xml version="1.0" encoding="utf-8"?>
<formControlPr xmlns="http://schemas.microsoft.com/office/spreadsheetml/2009/9/main" objectType="Radio" lockText="1"/>
</file>

<file path=xl/ctrlProps/ctrlProp804.xml><?xml version="1.0" encoding="utf-8"?>
<formControlPr xmlns="http://schemas.microsoft.com/office/spreadsheetml/2009/9/main" objectType="Radio" lockText="1"/>
</file>

<file path=xl/ctrlProps/ctrlProp805.xml><?xml version="1.0" encoding="utf-8"?>
<formControlPr xmlns="http://schemas.microsoft.com/office/spreadsheetml/2009/9/main" objectType="Radio" lockText="1"/>
</file>

<file path=xl/ctrlProps/ctrlProp806.xml><?xml version="1.0" encoding="utf-8"?>
<formControlPr xmlns="http://schemas.microsoft.com/office/spreadsheetml/2009/9/main" objectType="GBox"/>
</file>

<file path=xl/ctrlProps/ctrlProp807.xml><?xml version="1.0" encoding="utf-8"?>
<formControlPr xmlns="http://schemas.microsoft.com/office/spreadsheetml/2009/9/main" objectType="Radio" firstButton="1" fmlaLink="Consolida_Dimensões_Analítico!$G$20" lockText="1"/>
</file>

<file path=xl/ctrlProps/ctrlProp808.xml><?xml version="1.0" encoding="utf-8"?>
<formControlPr xmlns="http://schemas.microsoft.com/office/spreadsheetml/2009/9/main" objectType="Radio" lockText="1"/>
</file>

<file path=xl/ctrlProps/ctrlProp809.xml><?xml version="1.0" encoding="utf-8"?>
<formControlPr xmlns="http://schemas.microsoft.com/office/spreadsheetml/2009/9/main" objectType="Radio" lockText="1"/>
</file>

<file path=xl/ctrlProps/ctrlProp810.xml><?xml version="1.0" encoding="utf-8"?>
<formControlPr xmlns="http://schemas.microsoft.com/office/spreadsheetml/2009/9/main" objectType="Radio" lockText="1"/>
</file>

<file path=xl/ctrlProps/ctrlProp811.xml><?xml version="1.0" encoding="utf-8"?>
<formControlPr xmlns="http://schemas.microsoft.com/office/spreadsheetml/2009/9/main" objectType="GBox"/>
</file>

<file path=xl/ctrlProps/ctrlProp812.xml><?xml version="1.0" encoding="utf-8"?>
<formControlPr xmlns="http://schemas.microsoft.com/office/spreadsheetml/2009/9/main" objectType="Radio" firstButton="1" fmlaLink="Consolida_Dimensões_Analítico!$G$21" lockText="1"/>
</file>

<file path=xl/ctrlProps/ctrlProp813.xml><?xml version="1.0" encoding="utf-8"?>
<formControlPr xmlns="http://schemas.microsoft.com/office/spreadsheetml/2009/9/main" objectType="Radio" lockText="1"/>
</file>

<file path=xl/ctrlProps/ctrlProp814.xml><?xml version="1.0" encoding="utf-8"?>
<formControlPr xmlns="http://schemas.microsoft.com/office/spreadsheetml/2009/9/main" objectType="Radio" lockText="1"/>
</file>

<file path=xl/ctrlProps/ctrlProp815.xml><?xml version="1.0" encoding="utf-8"?>
<formControlPr xmlns="http://schemas.microsoft.com/office/spreadsheetml/2009/9/main" objectType="Radio" lockText="1"/>
</file>

<file path=xl/ctrlProps/ctrlProp816.xml><?xml version="1.0" encoding="utf-8"?>
<formControlPr xmlns="http://schemas.microsoft.com/office/spreadsheetml/2009/9/main" objectType="GBox"/>
</file>

<file path=xl/ctrlProps/ctrlProp817.xml><?xml version="1.0" encoding="utf-8"?>
<formControlPr xmlns="http://schemas.microsoft.com/office/spreadsheetml/2009/9/main" objectType="Radio" firstButton="1" fmlaLink="Consolida_Dimensões_Analítico!$G$22" lockText="1"/>
</file>

<file path=xl/ctrlProps/ctrlProp818.xml><?xml version="1.0" encoding="utf-8"?>
<formControlPr xmlns="http://schemas.microsoft.com/office/spreadsheetml/2009/9/main" objectType="Radio" lockText="1"/>
</file>

<file path=xl/ctrlProps/ctrlProp819.xml><?xml version="1.0" encoding="utf-8"?>
<formControlPr xmlns="http://schemas.microsoft.com/office/spreadsheetml/2009/9/main" objectType="Radio" lockText="1"/>
</file>

<file path=xl/ctrlProps/ctrlProp820.xml><?xml version="1.0" encoding="utf-8"?>
<formControlPr xmlns="http://schemas.microsoft.com/office/spreadsheetml/2009/9/main" objectType="Radio" lockText="1"/>
</file>

<file path=xl/ctrlProps/ctrlProp821.xml><?xml version="1.0" encoding="utf-8"?>
<formControlPr xmlns="http://schemas.microsoft.com/office/spreadsheetml/2009/9/main" objectType="GBox"/>
</file>

<file path=xl/ctrlProps/ctrlProp822.xml><?xml version="1.0" encoding="utf-8"?>
<formControlPr xmlns="http://schemas.microsoft.com/office/spreadsheetml/2009/9/main" objectType="Radio" firstButton="1" fmlaLink="Consolida_Dimensões_Analítico!$G$23" lockText="1"/>
</file>

<file path=xl/ctrlProps/ctrlProp823.xml><?xml version="1.0" encoding="utf-8"?>
<formControlPr xmlns="http://schemas.microsoft.com/office/spreadsheetml/2009/9/main" objectType="Radio" lockText="1"/>
</file>

<file path=xl/ctrlProps/ctrlProp824.xml><?xml version="1.0" encoding="utf-8"?>
<formControlPr xmlns="http://schemas.microsoft.com/office/spreadsheetml/2009/9/main" objectType="Radio" lockText="1"/>
</file>

<file path=xl/ctrlProps/ctrlProp825.xml><?xml version="1.0" encoding="utf-8"?>
<formControlPr xmlns="http://schemas.microsoft.com/office/spreadsheetml/2009/9/main" objectType="Radio" lockText="1"/>
</file>

<file path=xl/ctrlProps/ctrlProp826.xml><?xml version="1.0" encoding="utf-8"?>
<formControlPr xmlns="http://schemas.microsoft.com/office/spreadsheetml/2009/9/main" objectType="GBox"/>
</file>

<file path=xl/ctrlProps/ctrlProp827.xml><?xml version="1.0" encoding="utf-8"?>
<formControlPr xmlns="http://schemas.microsoft.com/office/spreadsheetml/2009/9/main" objectType="Radio" firstButton="1" fmlaLink="Consolida_Dimensões_Analítico!$G$24" lockText="1"/>
</file>

<file path=xl/ctrlProps/ctrlProp828.xml><?xml version="1.0" encoding="utf-8"?>
<formControlPr xmlns="http://schemas.microsoft.com/office/spreadsheetml/2009/9/main" objectType="Radio" lockText="1"/>
</file>

<file path=xl/ctrlProps/ctrlProp829.xml><?xml version="1.0" encoding="utf-8"?>
<formControlPr xmlns="http://schemas.microsoft.com/office/spreadsheetml/2009/9/main" objectType="Radio" lockText="1"/>
</file>

<file path=xl/ctrlProps/ctrlProp830.xml><?xml version="1.0" encoding="utf-8"?>
<formControlPr xmlns="http://schemas.microsoft.com/office/spreadsheetml/2009/9/main" objectType="Radio" lockText="1"/>
</file>

<file path=xl/ctrlProps/ctrlProp831.xml><?xml version="1.0" encoding="utf-8"?>
<formControlPr xmlns="http://schemas.microsoft.com/office/spreadsheetml/2009/9/main" objectType="GBox"/>
</file>

<file path=xl/ctrlProps/ctrlProp832.xml><?xml version="1.0" encoding="utf-8"?>
<formControlPr xmlns="http://schemas.microsoft.com/office/spreadsheetml/2009/9/main" objectType="Radio" firstButton="1" fmlaLink="Consolida_Dimensões_Analítico!$G$25" lockText="1"/>
</file>

<file path=xl/ctrlProps/ctrlProp833.xml><?xml version="1.0" encoding="utf-8"?>
<formControlPr xmlns="http://schemas.microsoft.com/office/spreadsheetml/2009/9/main" objectType="Radio" lockText="1"/>
</file>

<file path=xl/ctrlProps/ctrlProp834.xml><?xml version="1.0" encoding="utf-8"?>
<formControlPr xmlns="http://schemas.microsoft.com/office/spreadsheetml/2009/9/main" objectType="Radio" lockText="1"/>
</file>

<file path=xl/ctrlProps/ctrlProp835.xml><?xml version="1.0" encoding="utf-8"?>
<formControlPr xmlns="http://schemas.microsoft.com/office/spreadsheetml/2009/9/main" objectType="Radio" lockText="1"/>
</file>

<file path=xl/ctrlProps/ctrlProp836.xml><?xml version="1.0" encoding="utf-8"?>
<formControlPr xmlns="http://schemas.microsoft.com/office/spreadsheetml/2009/9/main" objectType="GBox"/>
</file>

<file path=xl/ctrlProps/ctrlProp837.xml><?xml version="1.0" encoding="utf-8"?>
<formControlPr xmlns="http://schemas.microsoft.com/office/spreadsheetml/2009/9/main" objectType="Radio" firstButton="1" fmlaLink="Consolida_Dimensões_Analítico!$G$26" lockText="1"/>
</file>

<file path=xl/ctrlProps/ctrlProp838.xml><?xml version="1.0" encoding="utf-8"?>
<formControlPr xmlns="http://schemas.microsoft.com/office/spreadsheetml/2009/9/main" objectType="Radio" lockText="1"/>
</file>

<file path=xl/ctrlProps/ctrlProp839.xml><?xml version="1.0" encoding="utf-8"?>
<formControlPr xmlns="http://schemas.microsoft.com/office/spreadsheetml/2009/9/main" objectType="Radio" lockText="1"/>
</file>

<file path=xl/ctrlProps/ctrlProp840.xml><?xml version="1.0" encoding="utf-8"?>
<formControlPr xmlns="http://schemas.microsoft.com/office/spreadsheetml/2009/9/main" objectType="Radio" lockText="1"/>
</file>

<file path=xl/ctrlProps/ctrlProp841.xml><?xml version="1.0" encoding="utf-8"?>
<formControlPr xmlns="http://schemas.microsoft.com/office/spreadsheetml/2009/9/main" objectType="GBox"/>
</file>

<file path=xl/ctrlProps/ctrlProp842.xml><?xml version="1.0" encoding="utf-8"?>
<formControlPr xmlns="http://schemas.microsoft.com/office/spreadsheetml/2009/9/main" objectType="Radio" firstButton="1" fmlaLink="Consolida_Dimensões_Analítico!$G$27" lockText="1"/>
</file>

<file path=xl/ctrlProps/ctrlProp843.xml><?xml version="1.0" encoding="utf-8"?>
<formControlPr xmlns="http://schemas.microsoft.com/office/spreadsheetml/2009/9/main" objectType="Radio" lockText="1"/>
</file>

<file path=xl/ctrlProps/ctrlProp844.xml><?xml version="1.0" encoding="utf-8"?>
<formControlPr xmlns="http://schemas.microsoft.com/office/spreadsheetml/2009/9/main" objectType="Radio" lockText="1"/>
</file>

<file path=xl/ctrlProps/ctrlProp845.xml><?xml version="1.0" encoding="utf-8"?>
<formControlPr xmlns="http://schemas.microsoft.com/office/spreadsheetml/2009/9/main" objectType="Radio" lockText="1"/>
</file>

<file path=xl/ctrlProps/ctrlProp846.xml><?xml version="1.0" encoding="utf-8"?>
<formControlPr xmlns="http://schemas.microsoft.com/office/spreadsheetml/2009/9/main" objectType="GBox"/>
</file>

<file path=xl/ctrlProps/ctrlProp847.xml><?xml version="1.0" encoding="utf-8"?>
<formControlPr xmlns="http://schemas.microsoft.com/office/spreadsheetml/2009/9/main" objectType="Radio" firstButton="1" fmlaLink="Consolida_Dimensões_Analítico!$G$28" lockText="1"/>
</file>

<file path=xl/ctrlProps/ctrlProp848.xml><?xml version="1.0" encoding="utf-8"?>
<formControlPr xmlns="http://schemas.microsoft.com/office/spreadsheetml/2009/9/main" objectType="Radio" lockText="1"/>
</file>

<file path=xl/ctrlProps/ctrlProp849.xml><?xml version="1.0" encoding="utf-8"?>
<formControlPr xmlns="http://schemas.microsoft.com/office/spreadsheetml/2009/9/main" objectType="Radio" lockText="1"/>
</file>

<file path=xl/ctrlProps/ctrlProp850.xml><?xml version="1.0" encoding="utf-8"?>
<formControlPr xmlns="http://schemas.microsoft.com/office/spreadsheetml/2009/9/main" objectType="Radio" lockText="1"/>
</file>

<file path=xl/ctrlProps/ctrlProp851.xml><?xml version="1.0" encoding="utf-8"?>
<formControlPr xmlns="http://schemas.microsoft.com/office/spreadsheetml/2009/9/main" objectType="GBox"/>
</file>

<file path=xl/ctrlProps/ctrlProp852.xml><?xml version="1.0" encoding="utf-8"?>
<formControlPr xmlns="http://schemas.microsoft.com/office/spreadsheetml/2009/9/main" objectType="Radio" firstButton="1" fmlaLink="Consolida_Dimensões_Analítico!$G$29" lockText="1"/>
</file>

<file path=xl/ctrlProps/ctrlProp853.xml><?xml version="1.0" encoding="utf-8"?>
<formControlPr xmlns="http://schemas.microsoft.com/office/spreadsheetml/2009/9/main" objectType="Radio" lockText="1"/>
</file>

<file path=xl/ctrlProps/ctrlProp854.xml><?xml version="1.0" encoding="utf-8"?>
<formControlPr xmlns="http://schemas.microsoft.com/office/spreadsheetml/2009/9/main" objectType="Radio" lockText="1"/>
</file>

<file path=xl/ctrlProps/ctrlProp855.xml><?xml version="1.0" encoding="utf-8"?>
<formControlPr xmlns="http://schemas.microsoft.com/office/spreadsheetml/2009/9/main" objectType="Radio" lockText="1"/>
</file>

<file path=xl/ctrlProps/ctrlProp856.xml><?xml version="1.0" encoding="utf-8"?>
<formControlPr xmlns="http://schemas.microsoft.com/office/spreadsheetml/2009/9/main" objectType="GBox"/>
</file>

<file path=xl/ctrlProps/ctrlProp857.xml><?xml version="1.0" encoding="utf-8"?>
<formControlPr xmlns="http://schemas.microsoft.com/office/spreadsheetml/2009/9/main" objectType="Radio" firstButton="1" fmlaLink="Consolida_Dimensões_Analítico!$G$30" lockText="1"/>
</file>

<file path=xl/ctrlProps/ctrlProp858.xml><?xml version="1.0" encoding="utf-8"?>
<formControlPr xmlns="http://schemas.microsoft.com/office/spreadsheetml/2009/9/main" objectType="Radio" lockText="1"/>
</file>

<file path=xl/ctrlProps/ctrlProp859.xml><?xml version="1.0" encoding="utf-8"?>
<formControlPr xmlns="http://schemas.microsoft.com/office/spreadsheetml/2009/9/main" objectType="Radio" lockText="1"/>
</file>

<file path=xl/ctrlProps/ctrlProp860.xml><?xml version="1.0" encoding="utf-8"?>
<formControlPr xmlns="http://schemas.microsoft.com/office/spreadsheetml/2009/9/main" objectType="Radio" lockText="1"/>
</file>

<file path=xl/ctrlProps/ctrlProp861.xml><?xml version="1.0" encoding="utf-8"?>
<formControlPr xmlns="http://schemas.microsoft.com/office/spreadsheetml/2009/9/main" objectType="GBox"/>
</file>

<file path=xl/ctrlProps/ctrlProp862.xml><?xml version="1.0" encoding="utf-8"?>
<formControlPr xmlns="http://schemas.microsoft.com/office/spreadsheetml/2009/9/main" objectType="Radio" firstButton="1" fmlaLink="Consolida_Dimensões_Analítico!$G$31" lockText="1"/>
</file>

<file path=xl/ctrlProps/ctrlProp863.xml><?xml version="1.0" encoding="utf-8"?>
<formControlPr xmlns="http://schemas.microsoft.com/office/spreadsheetml/2009/9/main" objectType="Radio" lockText="1"/>
</file>

<file path=xl/ctrlProps/ctrlProp864.xml><?xml version="1.0" encoding="utf-8"?>
<formControlPr xmlns="http://schemas.microsoft.com/office/spreadsheetml/2009/9/main" objectType="Radio" lockText="1"/>
</file>

<file path=xl/ctrlProps/ctrlProp865.xml><?xml version="1.0" encoding="utf-8"?>
<formControlPr xmlns="http://schemas.microsoft.com/office/spreadsheetml/2009/9/main" objectType="Radio" lockText="1"/>
</file>

<file path=xl/ctrlProps/ctrlProp866.xml><?xml version="1.0" encoding="utf-8"?>
<formControlPr xmlns="http://schemas.microsoft.com/office/spreadsheetml/2009/9/main" objectType="GBox"/>
</file>

<file path=xl/ctrlProps/ctrlProp867.xml><?xml version="1.0" encoding="utf-8"?>
<formControlPr xmlns="http://schemas.microsoft.com/office/spreadsheetml/2009/9/main" objectType="Radio" firstButton="1" fmlaLink="Consolida_Dimensões_Analítico!$G$32" lockText="1"/>
</file>

<file path=xl/ctrlProps/ctrlProp868.xml><?xml version="1.0" encoding="utf-8"?>
<formControlPr xmlns="http://schemas.microsoft.com/office/spreadsheetml/2009/9/main" objectType="Radio" lockText="1"/>
</file>

<file path=xl/ctrlProps/ctrlProp869.xml><?xml version="1.0" encoding="utf-8"?>
<formControlPr xmlns="http://schemas.microsoft.com/office/spreadsheetml/2009/9/main" objectType="Radio" lockText="1"/>
</file>

<file path=xl/ctrlProps/ctrlProp870.xml><?xml version="1.0" encoding="utf-8"?>
<formControlPr xmlns="http://schemas.microsoft.com/office/spreadsheetml/2009/9/main" objectType="Radio" lockText="1"/>
</file>

<file path=xl/ctrlProps/ctrlProp871.xml><?xml version="1.0" encoding="utf-8"?>
<formControlPr xmlns="http://schemas.microsoft.com/office/spreadsheetml/2009/9/main" objectType="GBox"/>
</file>

<file path=xl/ctrlProps/ctrlProp872.xml><?xml version="1.0" encoding="utf-8"?>
<formControlPr xmlns="http://schemas.microsoft.com/office/spreadsheetml/2009/9/main" objectType="Radio" firstButton="1" fmlaLink="Consolida_Dimensões_Analítico!$G$33" lockText="1"/>
</file>

<file path=xl/ctrlProps/ctrlProp873.xml><?xml version="1.0" encoding="utf-8"?>
<formControlPr xmlns="http://schemas.microsoft.com/office/spreadsheetml/2009/9/main" objectType="Radio" lockText="1"/>
</file>

<file path=xl/ctrlProps/ctrlProp874.xml><?xml version="1.0" encoding="utf-8"?>
<formControlPr xmlns="http://schemas.microsoft.com/office/spreadsheetml/2009/9/main" objectType="Radio" lockText="1"/>
</file>

<file path=xl/ctrlProps/ctrlProp875.xml><?xml version="1.0" encoding="utf-8"?>
<formControlPr xmlns="http://schemas.microsoft.com/office/spreadsheetml/2009/9/main" objectType="Radio" lockText="1"/>
</file>

<file path=xl/ctrlProps/ctrlProp876.xml><?xml version="1.0" encoding="utf-8"?>
<formControlPr xmlns="http://schemas.microsoft.com/office/spreadsheetml/2009/9/main" objectType="GBox"/>
</file>

<file path=xl/ctrlProps/ctrlProp877.xml><?xml version="1.0" encoding="utf-8"?>
<formControlPr xmlns="http://schemas.microsoft.com/office/spreadsheetml/2009/9/main" objectType="Radio" firstButton="1" fmlaLink="Consolida_Dimensões_Analítico!$G$34" lockText="1"/>
</file>

<file path=xl/ctrlProps/ctrlProp878.xml><?xml version="1.0" encoding="utf-8"?>
<formControlPr xmlns="http://schemas.microsoft.com/office/spreadsheetml/2009/9/main" objectType="Radio" lockText="1"/>
</file>

<file path=xl/ctrlProps/ctrlProp879.xml><?xml version="1.0" encoding="utf-8"?>
<formControlPr xmlns="http://schemas.microsoft.com/office/spreadsheetml/2009/9/main" objectType="Radio" lockText="1"/>
</file>

<file path=xl/ctrlProps/ctrlProp880.xml><?xml version="1.0" encoding="utf-8"?>
<formControlPr xmlns="http://schemas.microsoft.com/office/spreadsheetml/2009/9/main" objectType="Radio" lockText="1"/>
</file>

<file path=xl/ctrlProps/ctrlProp881.xml><?xml version="1.0" encoding="utf-8"?>
<formControlPr xmlns="http://schemas.microsoft.com/office/spreadsheetml/2009/9/main" objectType="GBox"/>
</file>

<file path=xl/ctrlProps/ctrlProp882.xml><?xml version="1.0" encoding="utf-8"?>
<formControlPr xmlns="http://schemas.microsoft.com/office/spreadsheetml/2009/9/main" objectType="Radio" firstButton="1" fmlaLink="Consolida_Dimensões_Analítico!$G$35" lockText="1"/>
</file>

<file path=xl/ctrlProps/ctrlProp883.xml><?xml version="1.0" encoding="utf-8"?>
<formControlPr xmlns="http://schemas.microsoft.com/office/spreadsheetml/2009/9/main" objectType="Radio" lockText="1"/>
</file>

<file path=xl/ctrlProps/ctrlProp884.xml><?xml version="1.0" encoding="utf-8"?>
<formControlPr xmlns="http://schemas.microsoft.com/office/spreadsheetml/2009/9/main" objectType="Radio" lockText="1"/>
</file>

<file path=xl/ctrlProps/ctrlProp885.xml><?xml version="1.0" encoding="utf-8"?>
<formControlPr xmlns="http://schemas.microsoft.com/office/spreadsheetml/2009/9/main" objectType="Radio" lockText="1"/>
</file>

<file path=xl/ctrlProps/ctrlProp886.xml><?xml version="1.0" encoding="utf-8"?>
<formControlPr xmlns="http://schemas.microsoft.com/office/spreadsheetml/2009/9/main" objectType="GBox"/>
</file>

<file path=xl/ctrlProps/ctrlProp887.xml><?xml version="1.0" encoding="utf-8"?>
<formControlPr xmlns="http://schemas.microsoft.com/office/spreadsheetml/2009/9/main" objectType="Radio" firstButton="1" fmlaLink="Consolida_Dimensões_Analítico!$G$36" lockText="1"/>
</file>

<file path=xl/ctrlProps/ctrlProp888.xml><?xml version="1.0" encoding="utf-8"?>
<formControlPr xmlns="http://schemas.microsoft.com/office/spreadsheetml/2009/9/main" objectType="Radio" lockText="1"/>
</file>

<file path=xl/ctrlProps/ctrlProp889.xml><?xml version="1.0" encoding="utf-8"?>
<formControlPr xmlns="http://schemas.microsoft.com/office/spreadsheetml/2009/9/main" objectType="Radio" lockText="1"/>
</file>

<file path=xl/ctrlProps/ctrlProp890.xml><?xml version="1.0" encoding="utf-8"?>
<formControlPr xmlns="http://schemas.microsoft.com/office/spreadsheetml/2009/9/main" objectType="Radio" lockText="1"/>
</file>

<file path=xl/ctrlProps/ctrlProp891.xml><?xml version="1.0" encoding="utf-8"?>
<formControlPr xmlns="http://schemas.microsoft.com/office/spreadsheetml/2009/9/main" objectType="GBox"/>
</file>

<file path=xl/ctrlProps/ctrlProp892.xml><?xml version="1.0" encoding="utf-8"?>
<formControlPr xmlns="http://schemas.microsoft.com/office/spreadsheetml/2009/9/main" objectType="Radio" firstButton="1" fmlaLink="Consolida_Dimensões_Analítico!$G$37" lockText="1"/>
</file>

<file path=xl/ctrlProps/ctrlProp893.xml><?xml version="1.0" encoding="utf-8"?>
<formControlPr xmlns="http://schemas.microsoft.com/office/spreadsheetml/2009/9/main" objectType="Radio" lockText="1"/>
</file>

<file path=xl/ctrlProps/ctrlProp894.xml><?xml version="1.0" encoding="utf-8"?>
<formControlPr xmlns="http://schemas.microsoft.com/office/spreadsheetml/2009/9/main" objectType="Radio" lockText="1"/>
</file>

<file path=xl/ctrlProps/ctrlProp895.xml><?xml version="1.0" encoding="utf-8"?>
<formControlPr xmlns="http://schemas.microsoft.com/office/spreadsheetml/2009/9/main" objectType="Radio" lockText="1"/>
</file>

<file path=xl/ctrlProps/ctrlProp896.xml><?xml version="1.0" encoding="utf-8"?>
<formControlPr xmlns="http://schemas.microsoft.com/office/spreadsheetml/2009/9/main" objectType="GBox"/>
</file>

<file path=xl/ctrlProps/ctrlProp897.xml><?xml version="1.0" encoding="utf-8"?>
<formControlPr xmlns="http://schemas.microsoft.com/office/spreadsheetml/2009/9/main" objectType="Radio" firstButton="1" fmlaLink="Consolida_Dimensões_Analítico!$G$38" lockText="1"/>
</file>

<file path=xl/ctrlProps/ctrlProp898.xml><?xml version="1.0" encoding="utf-8"?>
<formControlPr xmlns="http://schemas.microsoft.com/office/spreadsheetml/2009/9/main" objectType="Radio" lockText="1"/>
</file>

<file path=xl/ctrlProps/ctrlProp899.xml><?xml version="1.0" encoding="utf-8"?>
<formControlPr xmlns="http://schemas.microsoft.com/office/spreadsheetml/2009/9/main" objectType="Radio" lockText="1"/>
</file>

<file path=xl/ctrlProps/ctrlProp900.xml><?xml version="1.0" encoding="utf-8"?>
<formControlPr xmlns="http://schemas.microsoft.com/office/spreadsheetml/2009/9/main" objectType="Radio" lockText="1"/>
</file>

<file path=xl/ctrlProps/ctrlProp901.xml><?xml version="1.0" encoding="utf-8"?>
<formControlPr xmlns="http://schemas.microsoft.com/office/spreadsheetml/2009/9/main" objectType="GBox"/>
</file>

<file path=xl/ctrlProps/ctrlProp902.xml><?xml version="1.0" encoding="utf-8"?>
<formControlPr xmlns="http://schemas.microsoft.com/office/spreadsheetml/2009/9/main" objectType="Radio" firstButton="1" fmlaLink="Consolida_Dimensões_Analítico!$G$39" lockText="1"/>
</file>

<file path=xl/ctrlProps/ctrlProp903.xml><?xml version="1.0" encoding="utf-8"?>
<formControlPr xmlns="http://schemas.microsoft.com/office/spreadsheetml/2009/9/main" objectType="Radio" lockText="1"/>
</file>

<file path=xl/ctrlProps/ctrlProp904.xml><?xml version="1.0" encoding="utf-8"?>
<formControlPr xmlns="http://schemas.microsoft.com/office/spreadsheetml/2009/9/main" objectType="Radio" lockText="1"/>
</file>

<file path=xl/ctrlProps/ctrlProp905.xml><?xml version="1.0" encoding="utf-8"?>
<formControlPr xmlns="http://schemas.microsoft.com/office/spreadsheetml/2009/9/main" objectType="Radio" lockText="1"/>
</file>

<file path=xl/ctrlProps/ctrlProp906.xml><?xml version="1.0" encoding="utf-8"?>
<formControlPr xmlns="http://schemas.microsoft.com/office/spreadsheetml/2009/9/main" objectType="GBox"/>
</file>

<file path=xl/ctrlProps/ctrlProp907.xml><?xml version="1.0" encoding="utf-8"?>
<formControlPr xmlns="http://schemas.microsoft.com/office/spreadsheetml/2009/9/main" objectType="Radio" firstButton="1" fmlaLink="Consolida_Dimensões_Analítico!$G$40" lockText="1"/>
</file>

<file path=xl/ctrlProps/ctrlProp908.xml><?xml version="1.0" encoding="utf-8"?>
<formControlPr xmlns="http://schemas.microsoft.com/office/spreadsheetml/2009/9/main" objectType="Radio" lockText="1"/>
</file>

<file path=xl/ctrlProps/ctrlProp909.xml><?xml version="1.0" encoding="utf-8"?>
<formControlPr xmlns="http://schemas.microsoft.com/office/spreadsheetml/2009/9/main" objectType="Radio" lockText="1"/>
</file>

<file path=xl/ctrlProps/ctrlProp910.xml><?xml version="1.0" encoding="utf-8"?>
<formControlPr xmlns="http://schemas.microsoft.com/office/spreadsheetml/2009/9/main" objectType="Radio" lockText="1"/>
</file>

<file path=xl/ctrlProps/ctrlProp911.xml><?xml version="1.0" encoding="utf-8"?>
<formControlPr xmlns="http://schemas.microsoft.com/office/spreadsheetml/2009/9/main" objectType="GBox"/>
</file>

<file path=xl/ctrlProps/ctrlProp912.xml><?xml version="1.0" encoding="utf-8"?>
<formControlPr xmlns="http://schemas.microsoft.com/office/spreadsheetml/2009/9/main" objectType="Radio" firstButton="1" fmlaLink="Consolida_Dimensões_Analítico!$G$41" lockText="1"/>
</file>

<file path=xl/ctrlProps/ctrlProp913.xml><?xml version="1.0" encoding="utf-8"?>
<formControlPr xmlns="http://schemas.microsoft.com/office/spreadsheetml/2009/9/main" objectType="Radio" lockText="1"/>
</file>

<file path=xl/ctrlProps/ctrlProp914.xml><?xml version="1.0" encoding="utf-8"?>
<formControlPr xmlns="http://schemas.microsoft.com/office/spreadsheetml/2009/9/main" objectType="Radio" lockText="1"/>
</file>

<file path=xl/ctrlProps/ctrlProp915.xml><?xml version="1.0" encoding="utf-8"?>
<formControlPr xmlns="http://schemas.microsoft.com/office/spreadsheetml/2009/9/main" objectType="Radio" lockText="1"/>
</file>

<file path=xl/ctrlProps/ctrlProp916.xml><?xml version="1.0" encoding="utf-8"?>
<formControlPr xmlns="http://schemas.microsoft.com/office/spreadsheetml/2009/9/main" objectType="GBox"/>
</file>

<file path=xl/ctrlProps/ctrlProp917.xml><?xml version="1.0" encoding="utf-8"?>
<formControlPr xmlns="http://schemas.microsoft.com/office/spreadsheetml/2009/9/main" objectType="Radio" firstButton="1" fmlaLink="Consolida_Dimensões_Analítico!$G$42" lockText="1"/>
</file>

<file path=xl/ctrlProps/ctrlProp918.xml><?xml version="1.0" encoding="utf-8"?>
<formControlPr xmlns="http://schemas.microsoft.com/office/spreadsheetml/2009/9/main" objectType="Radio" lockText="1"/>
</file>

<file path=xl/ctrlProps/ctrlProp919.xml><?xml version="1.0" encoding="utf-8"?>
<formControlPr xmlns="http://schemas.microsoft.com/office/spreadsheetml/2009/9/main" objectType="Radio" lockText="1"/>
</file>

<file path=xl/ctrlProps/ctrlProp920.xml><?xml version="1.0" encoding="utf-8"?>
<formControlPr xmlns="http://schemas.microsoft.com/office/spreadsheetml/2009/9/main" objectType="Radio" lockText="1"/>
</file>

<file path=xl/ctrlProps/ctrlProp921.xml><?xml version="1.0" encoding="utf-8"?>
<formControlPr xmlns="http://schemas.microsoft.com/office/spreadsheetml/2009/9/main" objectType="GBox"/>
</file>

<file path=xl/ctrlProps/ctrlProp922.xml><?xml version="1.0" encoding="utf-8"?>
<formControlPr xmlns="http://schemas.microsoft.com/office/spreadsheetml/2009/9/main" objectType="Radio" firstButton="1" fmlaLink="Consolida_Dimensões_Analítico!$G$43" lockText="1"/>
</file>

<file path=xl/ctrlProps/ctrlProp923.xml><?xml version="1.0" encoding="utf-8"?>
<formControlPr xmlns="http://schemas.microsoft.com/office/spreadsheetml/2009/9/main" objectType="Radio" lockText="1"/>
</file>

<file path=xl/ctrlProps/ctrlProp924.xml><?xml version="1.0" encoding="utf-8"?>
<formControlPr xmlns="http://schemas.microsoft.com/office/spreadsheetml/2009/9/main" objectType="Radio" lockText="1"/>
</file>

<file path=xl/ctrlProps/ctrlProp925.xml><?xml version="1.0" encoding="utf-8"?>
<formControlPr xmlns="http://schemas.microsoft.com/office/spreadsheetml/2009/9/main" objectType="Radio" lockText="1"/>
</file>

<file path=xl/ctrlProps/ctrlProp926.xml><?xml version="1.0" encoding="utf-8"?>
<formControlPr xmlns="http://schemas.microsoft.com/office/spreadsheetml/2009/9/main" objectType="GBox"/>
</file>

<file path=xl/ctrlProps/ctrlProp927.xml><?xml version="1.0" encoding="utf-8"?>
<formControlPr xmlns="http://schemas.microsoft.com/office/spreadsheetml/2009/9/main" objectType="Radio" firstButton="1" fmlaLink="Consolida_Dimensões_Analítico!$G$44" lockText="1"/>
</file>

<file path=xl/ctrlProps/ctrlProp928.xml><?xml version="1.0" encoding="utf-8"?>
<formControlPr xmlns="http://schemas.microsoft.com/office/spreadsheetml/2009/9/main" objectType="Radio" lockText="1"/>
</file>

<file path=xl/ctrlProps/ctrlProp929.xml><?xml version="1.0" encoding="utf-8"?>
<formControlPr xmlns="http://schemas.microsoft.com/office/spreadsheetml/2009/9/main" objectType="Radio" lockText="1"/>
</file>

<file path=xl/ctrlProps/ctrlProp930.xml><?xml version="1.0" encoding="utf-8"?>
<formControlPr xmlns="http://schemas.microsoft.com/office/spreadsheetml/2009/9/main" objectType="Radio" lockText="1"/>
</file>

<file path=xl/ctrlProps/ctrlProp931.xml><?xml version="1.0" encoding="utf-8"?>
<formControlPr xmlns="http://schemas.microsoft.com/office/spreadsheetml/2009/9/main" objectType="CheckBox" fmlaLink="$Q$5" lockText="1" noThreeD="1"/>
</file>

<file path=xl/ctrlProps/ctrlProp932.xml><?xml version="1.0" encoding="utf-8"?>
<formControlPr xmlns="http://schemas.microsoft.com/office/spreadsheetml/2009/9/main" objectType="CheckBox" fmlaLink="$R$5" lockText="1" noThreeD="1"/>
</file>

<file path=xl/ctrlProps/ctrlProp933.xml><?xml version="1.0" encoding="utf-8"?>
<formControlPr xmlns="http://schemas.microsoft.com/office/spreadsheetml/2009/9/main" objectType="CheckBox" checked="Checked" fmlaLink="$S$5" lockText="1" noThreeD="1"/>
</file>

<file path=xl/ctrlProps/ctrlProp934.xml><?xml version="1.0" encoding="utf-8"?>
<formControlPr xmlns="http://schemas.microsoft.com/office/spreadsheetml/2009/9/main" objectType="CheckBox" fmlaLink="$T$5" lockText="1" noThreeD="1"/>
</file>

<file path=xl/ctrlProps/ctrlProp935.xml><?xml version="1.0" encoding="utf-8"?>
<formControlPr xmlns="http://schemas.microsoft.com/office/spreadsheetml/2009/9/main" objectType="CheckBox" fmlaLink="$Q$7" lockText="1" noThreeD="1"/>
</file>

<file path=xl/ctrlProps/ctrlProp936.xml><?xml version="1.0" encoding="utf-8"?>
<formControlPr xmlns="http://schemas.microsoft.com/office/spreadsheetml/2009/9/main" objectType="CheckBox" fmlaLink="$R$7" lockText="1" noThreeD="1"/>
</file>

<file path=xl/ctrlProps/ctrlProp937.xml><?xml version="1.0" encoding="utf-8"?>
<formControlPr xmlns="http://schemas.microsoft.com/office/spreadsheetml/2009/9/main" objectType="CheckBox" checked="Checked" fmlaLink="$S$7" lockText="1" noThreeD="1"/>
</file>

<file path=xl/ctrlProps/ctrlProp938.xml><?xml version="1.0" encoding="utf-8"?>
<formControlPr xmlns="http://schemas.microsoft.com/office/spreadsheetml/2009/9/main" objectType="CheckBox" fmlaLink="$T$7" lockText="1" noThreeD="1"/>
</file>

<file path=xl/ctrlProps/ctrlProp939.xml><?xml version="1.0" encoding="utf-8"?>
<formControlPr xmlns="http://schemas.microsoft.com/office/spreadsheetml/2009/9/main" objectType="CheckBox" fmlaLink="$Q$9" lockText="1" noThreeD="1"/>
</file>

<file path=xl/ctrlProps/ctrlProp940.xml><?xml version="1.0" encoding="utf-8"?>
<formControlPr xmlns="http://schemas.microsoft.com/office/spreadsheetml/2009/9/main" objectType="CheckBox" checked="Checked" fmlaLink="$R$9" lockText="1" noThreeD="1"/>
</file>

<file path=xl/ctrlProps/ctrlProp941.xml><?xml version="1.0" encoding="utf-8"?>
<formControlPr xmlns="http://schemas.microsoft.com/office/spreadsheetml/2009/9/main" objectType="CheckBox" fmlaLink="$S$9" lockText="1" noThreeD="1"/>
</file>

<file path=xl/ctrlProps/ctrlProp942.xml><?xml version="1.0" encoding="utf-8"?>
<formControlPr xmlns="http://schemas.microsoft.com/office/spreadsheetml/2009/9/main" objectType="CheckBox" fmlaLink="$T$9" lockText="1" noThreeD="1"/>
</file>

<file path=xl/ctrlProps/ctrlProp943.xml><?xml version="1.0" encoding="utf-8"?>
<formControlPr xmlns="http://schemas.microsoft.com/office/spreadsheetml/2009/9/main" objectType="CheckBox" checked="Checked" fmlaLink="$Q$11" lockText="1" noThreeD="1"/>
</file>

<file path=xl/ctrlProps/ctrlProp944.xml><?xml version="1.0" encoding="utf-8"?>
<formControlPr xmlns="http://schemas.microsoft.com/office/spreadsheetml/2009/9/main" objectType="CheckBox" fmlaLink="$R$11" lockText="1" noThreeD="1"/>
</file>

<file path=xl/ctrlProps/ctrlProp945.xml><?xml version="1.0" encoding="utf-8"?>
<formControlPr xmlns="http://schemas.microsoft.com/office/spreadsheetml/2009/9/main" objectType="CheckBox" checked="Checked" fmlaLink="$Q$13" lockText="1" noThreeD="1"/>
</file>

<file path=xl/ctrlProps/ctrlProp946.xml><?xml version="1.0" encoding="utf-8"?>
<formControlPr xmlns="http://schemas.microsoft.com/office/spreadsheetml/2009/9/main" objectType="CheckBox" checked="Checked" fmlaLink="$R$13" lockText="1" noThreeD="1"/>
</file>

<file path=xl/ctrlProps/ctrlProp947.xml><?xml version="1.0" encoding="utf-8"?>
<formControlPr xmlns="http://schemas.microsoft.com/office/spreadsheetml/2009/9/main" objectType="CheckBox" checked="Checked" fmlaLink="$Q$15" lockText="1" noThreeD="1"/>
</file>

<file path=xl/ctrlProps/ctrlProp948.xml><?xml version="1.0" encoding="utf-8"?>
<formControlPr xmlns="http://schemas.microsoft.com/office/spreadsheetml/2009/9/main" objectType="CheckBox" fmlaLink="$R$15" lockText="1" noThreeD="1"/>
</file>

<file path=xl/ctrlProps/ctrlProp949.xml><?xml version="1.0" encoding="utf-8"?>
<formControlPr xmlns="http://schemas.microsoft.com/office/spreadsheetml/2009/9/main" objectType="CheckBox" checked="Checked" fmlaLink="$Q$17" lockText="1" noThreeD="1"/>
</file>

<file path=xl/ctrlProps/ctrlProp950.xml><?xml version="1.0" encoding="utf-8"?>
<formControlPr xmlns="http://schemas.microsoft.com/office/spreadsheetml/2009/9/main" objectType="CheckBox" fmlaLink="$R$17" lockText="1" noThreeD="1"/>
</file>

<file path=xl/ctrlProps/ctrlProp951.xml><?xml version="1.0" encoding="utf-8"?>
<formControlPr xmlns="http://schemas.microsoft.com/office/spreadsheetml/2009/9/main" objectType="CheckBox" fmlaLink="$Q$19" lockText="1" noThreeD="1"/>
</file>

<file path=xl/ctrlProps/ctrlProp952.xml><?xml version="1.0" encoding="utf-8"?>
<formControlPr xmlns="http://schemas.microsoft.com/office/spreadsheetml/2009/9/main" objectType="CheckBox" checked="Checked" fmlaLink="$R$19" lockText="1" noThreeD="1"/>
</file>

<file path=xl/ctrlProps/ctrlProp953.xml><?xml version="1.0" encoding="utf-8"?>
<formControlPr xmlns="http://schemas.microsoft.com/office/spreadsheetml/2009/9/main" objectType="CheckBox" checked="Checked" fmlaLink="$Q$21" lockText="1" noThreeD="1"/>
</file>

<file path=xl/ctrlProps/ctrlProp954.xml><?xml version="1.0" encoding="utf-8"?>
<formControlPr xmlns="http://schemas.microsoft.com/office/spreadsheetml/2009/9/main" objectType="CheckBox" fmlaLink="$R$21" lockText="1" noThreeD="1"/>
</file>

<file path=xl/ctrlProps/ctrlProp955.xml><?xml version="1.0" encoding="utf-8"?>
<formControlPr xmlns="http://schemas.microsoft.com/office/spreadsheetml/2009/9/main" objectType="CheckBox" fmlaLink="$Q$32" lockText="1" noThreeD="1"/>
</file>

<file path=xl/ctrlProps/ctrlProp956.xml><?xml version="1.0" encoding="utf-8"?>
<formControlPr xmlns="http://schemas.microsoft.com/office/spreadsheetml/2009/9/main" objectType="CheckBox" checked="Checked" fmlaLink="$R$32" lockText="1" noThreeD="1"/>
</file>

<file path=xl/ctrlProps/ctrlProp957.xml><?xml version="1.0" encoding="utf-8"?>
<formControlPr xmlns="http://schemas.microsoft.com/office/spreadsheetml/2009/9/main" objectType="CheckBox" checked="Checked" fmlaLink="$Q$23" lockText="1" noThreeD="1"/>
</file>

<file path=xl/ctrlProps/ctrlProp958.xml><?xml version="1.0" encoding="utf-8"?>
<formControlPr xmlns="http://schemas.microsoft.com/office/spreadsheetml/2009/9/main" objectType="CheckBox" fmlaLink="$R$23" lockText="1" noThreeD="1"/>
</file>

<file path=xl/ctrlProps/ctrlProp959.xml><?xml version="1.0" encoding="utf-8"?>
<formControlPr xmlns="http://schemas.microsoft.com/office/spreadsheetml/2009/9/main" objectType="CheckBox" fmlaLink="$Q$36" lockText="1" noThreeD="1"/>
</file>

<file path=xl/ctrlProps/ctrlProp960.xml><?xml version="1.0" encoding="utf-8"?>
<formControlPr xmlns="http://schemas.microsoft.com/office/spreadsheetml/2009/9/main" objectType="CheckBox" checked="Checked" fmlaLink="$R$36" lockText="1" noThreeD="1"/>
</file>

<file path=xl/ctrlProps/ctrlProp961.xml><?xml version="1.0" encoding="utf-8"?>
<formControlPr xmlns="http://schemas.microsoft.com/office/spreadsheetml/2009/9/main" objectType="CheckBox" checked="Checked" fmlaLink="$Q$38" lockText="1" noThreeD="1"/>
</file>

<file path=xl/ctrlProps/ctrlProp962.xml><?xml version="1.0" encoding="utf-8"?>
<formControlPr xmlns="http://schemas.microsoft.com/office/spreadsheetml/2009/9/main" objectType="CheckBox" fmlaLink="$R$38" lockText="1" noThreeD="1"/>
</file>

<file path=xl/ctrlProps/ctrlProp963.xml><?xml version="1.0" encoding="utf-8"?>
<formControlPr xmlns="http://schemas.microsoft.com/office/spreadsheetml/2009/9/main" objectType="CheckBox" fmlaLink="$Q$26" lockText="1" noThreeD="1"/>
</file>

<file path=xl/ctrlProps/ctrlProp964.xml><?xml version="1.0" encoding="utf-8"?>
<formControlPr xmlns="http://schemas.microsoft.com/office/spreadsheetml/2009/9/main" objectType="CheckBox" checked="Checked" fmlaLink="$R$26" lockText="1" noThreeD="1"/>
</file>

<file path=xl/ctrlProps/ctrlProp965.xml><?xml version="1.0" encoding="utf-8"?>
<formControlPr xmlns="http://schemas.microsoft.com/office/spreadsheetml/2009/9/main" objectType="CheckBox" fmlaLink="$P$28" lockText="1" noThreeD="1"/>
</file>

<file path=xl/ctrlProps/ctrlProp966.xml><?xml version="1.0" encoding="utf-8"?>
<formControlPr xmlns="http://schemas.microsoft.com/office/spreadsheetml/2009/9/main" objectType="CheckBox" fmlaLink="$Q$28" lockText="1" noThreeD="1"/>
</file>

<file path=xl/ctrlProps/ctrlProp967.xml><?xml version="1.0" encoding="utf-8"?>
<formControlPr xmlns="http://schemas.microsoft.com/office/spreadsheetml/2009/9/main" objectType="CheckBox" checked="Checked" fmlaLink="$R$28" lockText="1" noThreeD="1"/>
</file>

<file path=xl/ctrlProps/ctrlProp968.xml><?xml version="1.0" encoding="utf-8"?>
<formControlPr xmlns="http://schemas.microsoft.com/office/spreadsheetml/2009/9/main" objectType="CheckBox" fmlaLink="$S$28" lockText="1" noThreeD="1"/>
</file>

<file path=xl/ctrlProps/ctrlProp969.xml><?xml version="1.0" encoding="utf-8"?>
<formControlPr xmlns="http://schemas.microsoft.com/office/spreadsheetml/2009/9/main" objectType="CheckBox" fmlaLink="$P$30" lockText="1" noThreeD="1"/>
</file>

<file path=xl/ctrlProps/ctrlProp970.xml><?xml version="1.0" encoding="utf-8"?>
<formControlPr xmlns="http://schemas.microsoft.com/office/spreadsheetml/2009/9/main" objectType="CheckBox" fmlaLink="$Q$30" lockText="1" noThreeD="1"/>
</file>

<file path=xl/ctrlProps/ctrlProp971.xml><?xml version="1.0" encoding="utf-8"?>
<formControlPr xmlns="http://schemas.microsoft.com/office/spreadsheetml/2009/9/main" objectType="CheckBox" checked="Checked" fmlaLink="$R$30" lockText="1" noThreeD="1"/>
</file>

<file path=xl/ctrlProps/ctrlProp972.xml><?xml version="1.0" encoding="utf-8"?>
<formControlPr xmlns="http://schemas.microsoft.com/office/spreadsheetml/2009/9/main" objectType="CheckBox" fmlaLink="$S$30" lockText="1" noThreeD="1"/>
</file>

<file path=xl/ctrlProps/ctrlProp973.xml><?xml version="1.0" encoding="utf-8"?>
<formControlPr xmlns="http://schemas.microsoft.com/office/spreadsheetml/2009/9/main" objectType="CheckBox" checked="Checked" fmlaLink="$Q$34" lockText="1" noThreeD="1"/>
</file>

<file path=xl/ctrlProps/ctrlProp974.xml><?xml version="1.0" encoding="utf-8"?>
<formControlPr xmlns="http://schemas.microsoft.com/office/spreadsheetml/2009/9/main" objectType="CheckBox" fmlaLink="$R$34" lockText="1" noThreeD="1"/>
</file>

<file path=xl/ctrlProps/ctrlProp975.xml><?xml version="1.0" encoding="utf-8"?>
<formControlPr xmlns="http://schemas.microsoft.com/office/spreadsheetml/2009/9/main" objectType="CheckBox" fmlaLink="$S$34" lockText="1" noThreeD="1"/>
</file>

<file path=xl/ctrlProps/ctrlProp976.xml><?xml version="1.0" encoding="utf-8"?>
<formControlPr xmlns="http://schemas.microsoft.com/office/spreadsheetml/2009/9/main" objectType="CheckBox" fmlaLink="$T$34" lockText="1" noThreeD="1"/>
</file>

<file path=xl/ctrlProps/ctrlProp977.xml><?xml version="1.0" encoding="utf-8"?>
<formControlPr xmlns="http://schemas.microsoft.com/office/spreadsheetml/2009/9/main" objectType="CheckBox" fmlaLink="$Q$40" lockText="1" noThreeD="1"/>
</file>

<file path=xl/ctrlProps/ctrlProp978.xml><?xml version="1.0" encoding="utf-8"?>
<formControlPr xmlns="http://schemas.microsoft.com/office/spreadsheetml/2009/9/main" objectType="CheckBox" checked="Checked" fmlaLink="$R$40" lockText="1" noThreeD="1"/>
</file>

<file path=xl/ctrlProps/ctrlProp979.xml><?xml version="1.0" encoding="utf-8"?>
<formControlPr xmlns="http://schemas.microsoft.com/office/spreadsheetml/2009/9/main" objectType="CheckBox" fmlaLink="$S$40" lockText="1" noThreeD="1"/>
</file>

<file path=xl/ctrlProps/ctrlProp980.xml><?xml version="1.0" encoding="utf-8"?>
<formControlPr xmlns="http://schemas.microsoft.com/office/spreadsheetml/2009/9/main" objectType="CheckBox" fmlaLink="$T$40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77963</xdr:colOff>
      <xdr:row>2</xdr:row>
      <xdr:rowOff>9526</xdr:rowOff>
    </xdr:from>
    <xdr:to>
      <xdr:col>19</xdr:col>
      <xdr:colOff>19048</xdr:colOff>
      <xdr:row>12</xdr:row>
      <xdr:rowOff>0</xdr:rowOff>
    </xdr:to>
    <xdr:sp macro="" textlink="">
      <xdr:nvSpPr>
        <xdr:cNvPr id="11" name="CaixaDeTexto 10"/>
        <xdr:cNvSpPr txBox="1"/>
      </xdr:nvSpPr>
      <xdr:spPr>
        <a:xfrm>
          <a:off x="3125963" y="771526"/>
          <a:ext cx="8475485" cy="18954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2. Avaliar o perfil profissional dos empreendedores e a maturidade dos empreendimentos</a:t>
          </a:r>
        </a:p>
        <a:p>
          <a:pPr algn="ctr"/>
          <a:endParaRPr lang="pt-BR" sz="1100" b="1">
            <a:solidFill>
              <a:sysClr val="windowText" lastClr="000000"/>
            </a:solidFill>
          </a:endParaRPr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6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77963</xdr:colOff>
      <xdr:row>12</xdr:row>
      <xdr:rowOff>76201</xdr:rowOff>
    </xdr:from>
    <xdr:to>
      <xdr:col>15</xdr:col>
      <xdr:colOff>190500</xdr:colOff>
      <xdr:row>22</xdr:row>
      <xdr:rowOff>66675</xdr:rowOff>
    </xdr:to>
    <xdr:sp macro="" textlink="">
      <xdr:nvSpPr>
        <xdr:cNvPr id="12" name="CaixaDeTexto 11"/>
        <xdr:cNvSpPr txBox="1"/>
      </xdr:nvSpPr>
      <xdr:spPr>
        <a:xfrm>
          <a:off x="3125963" y="2743201"/>
          <a:ext cx="6208537" cy="18954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3. Avaliar os resultados</a:t>
          </a:r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</xdr:txBody>
    </xdr:sp>
    <xdr:clientData/>
  </xdr:twoCellAnchor>
  <xdr:twoCellAnchor>
    <xdr:from>
      <xdr:col>1</xdr:col>
      <xdr:colOff>390524</xdr:colOff>
      <xdr:row>2</xdr:row>
      <xdr:rowOff>9525</xdr:rowOff>
    </xdr:from>
    <xdr:to>
      <xdr:col>4</xdr:col>
      <xdr:colOff>569650</xdr:colOff>
      <xdr:row>22</xdr:row>
      <xdr:rowOff>66675</xdr:rowOff>
    </xdr:to>
    <xdr:sp macro="[0]!limparresposta" textlink="">
      <xdr:nvSpPr>
        <xdr:cNvPr id="15" name="CaixaDeTexto 14"/>
        <xdr:cNvSpPr txBox="1"/>
      </xdr:nvSpPr>
      <xdr:spPr>
        <a:xfrm>
          <a:off x="1000124" y="771525"/>
          <a:ext cx="2007926" cy="38671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1. Limpar respostas</a:t>
          </a:r>
        </a:p>
      </xdr:txBody>
    </xdr:sp>
    <xdr:clientData/>
  </xdr:twoCellAnchor>
  <xdr:twoCellAnchor>
    <xdr:from>
      <xdr:col>1</xdr:col>
      <xdr:colOff>390524</xdr:colOff>
      <xdr:row>22</xdr:row>
      <xdr:rowOff>142875</xdr:rowOff>
    </xdr:from>
    <xdr:to>
      <xdr:col>19</xdr:col>
      <xdr:colOff>23813</xdr:colOff>
      <xdr:row>25</xdr:row>
      <xdr:rowOff>142875</xdr:rowOff>
    </xdr:to>
    <xdr:sp macro="[0]!ENTREGAS" textlink="">
      <xdr:nvSpPr>
        <xdr:cNvPr id="17" name="CaixaDeTexto 16"/>
        <xdr:cNvSpPr txBox="1"/>
      </xdr:nvSpPr>
      <xdr:spPr>
        <a:xfrm>
          <a:off x="1000124" y="4714875"/>
          <a:ext cx="10606089" cy="5715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5. AVALIAÇÃO FINAL + ENTREGAS</a:t>
          </a:r>
        </a:p>
      </xdr:txBody>
    </xdr:sp>
    <xdr:clientData/>
  </xdr:twoCellAnchor>
  <xdr:twoCellAnchor>
    <xdr:from>
      <xdr:col>15</xdr:col>
      <xdr:colOff>257175</xdr:colOff>
      <xdr:row>12</xdr:row>
      <xdr:rowOff>76201</xdr:rowOff>
    </xdr:from>
    <xdr:to>
      <xdr:col>19</xdr:col>
      <xdr:colOff>19050</xdr:colOff>
      <xdr:row>22</xdr:row>
      <xdr:rowOff>66675</xdr:rowOff>
    </xdr:to>
    <xdr:sp macro="" textlink="">
      <xdr:nvSpPr>
        <xdr:cNvPr id="25" name="CaixaDeTexto 24"/>
        <xdr:cNvSpPr txBox="1"/>
      </xdr:nvSpPr>
      <xdr:spPr>
        <a:xfrm>
          <a:off x="9401175" y="2743201"/>
          <a:ext cx="2200275" cy="18954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4. Salvar o diagnóstico</a:t>
          </a:r>
        </a:p>
        <a:p>
          <a:pPr algn="ctr"/>
          <a:endParaRPr lang="pt-BR" sz="1100" b="1"/>
        </a:p>
        <a:p>
          <a:pPr algn="ctr"/>
          <a:endParaRPr lang="pt-BR" sz="1100" b="1">
            <a:solidFill>
              <a:sysClr val="windowText" lastClr="000000"/>
            </a:solidFill>
          </a:endParaRPr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</xdr:txBody>
    </xdr:sp>
    <xdr:clientData/>
  </xdr:twoCellAnchor>
  <xdr:twoCellAnchor>
    <xdr:from>
      <xdr:col>16</xdr:col>
      <xdr:colOff>180974</xdr:colOff>
      <xdr:row>14</xdr:row>
      <xdr:rowOff>142874</xdr:rowOff>
    </xdr:from>
    <xdr:to>
      <xdr:col>18</xdr:col>
      <xdr:colOff>113774</xdr:colOff>
      <xdr:row>20</xdr:row>
      <xdr:rowOff>151874</xdr:rowOff>
    </xdr:to>
    <xdr:sp macro="[0]!salvardiagnostico" textlink="">
      <xdr:nvSpPr>
        <xdr:cNvPr id="26" name="Elipse 25"/>
        <xdr:cNvSpPr>
          <a:spLocks noChangeAspect="1"/>
        </xdr:cNvSpPr>
      </xdr:nvSpPr>
      <xdr:spPr>
        <a:xfrm>
          <a:off x="9934574" y="3190874"/>
          <a:ext cx="1152000" cy="1152000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16</xdr:col>
      <xdr:colOff>333375</xdr:colOff>
      <xdr:row>16</xdr:row>
      <xdr:rowOff>152400</xdr:rowOff>
    </xdr:from>
    <xdr:to>
      <xdr:col>17</xdr:col>
      <xdr:colOff>590550</xdr:colOff>
      <xdr:row>18</xdr:row>
      <xdr:rowOff>123825</xdr:rowOff>
    </xdr:to>
    <xdr:sp macro="[0]!salvardiagnostico" textlink="">
      <xdr:nvSpPr>
        <xdr:cNvPr id="28" name="CaixaDeTexto 27"/>
        <xdr:cNvSpPr txBox="1"/>
      </xdr:nvSpPr>
      <xdr:spPr>
        <a:xfrm>
          <a:off x="10086975" y="3581400"/>
          <a:ext cx="866775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Salvar!!!</a:t>
          </a:r>
        </a:p>
      </xdr:txBody>
    </xdr:sp>
    <xdr:clientData/>
  </xdr:twoCellAnchor>
  <xdr:twoCellAnchor editAs="oneCell">
    <xdr:from>
      <xdr:col>2</xdr:col>
      <xdr:colOff>228600</xdr:colOff>
      <xdr:row>2</xdr:row>
      <xdr:rowOff>124564</xdr:rowOff>
    </xdr:from>
    <xdr:to>
      <xdr:col>4</xdr:col>
      <xdr:colOff>292950</xdr:colOff>
      <xdr:row>4</xdr:row>
      <xdr:rowOff>157054</xdr:rowOff>
    </xdr:to>
    <xdr:pic>
      <xdr:nvPicPr>
        <xdr:cNvPr id="27" name="Imagem 26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3900" y="505564"/>
          <a:ext cx="1836000" cy="413490"/>
        </a:xfrm>
        <a:prstGeom prst="rect">
          <a:avLst/>
        </a:prstGeom>
      </xdr:spPr>
    </xdr:pic>
    <xdr:clientData/>
  </xdr:twoCellAnchor>
  <xdr:twoCellAnchor>
    <xdr:from>
      <xdr:col>5</xdr:col>
      <xdr:colOff>210299</xdr:colOff>
      <xdr:row>7</xdr:row>
      <xdr:rowOff>140635</xdr:rowOff>
    </xdr:from>
    <xdr:to>
      <xdr:col>7</xdr:col>
      <xdr:colOff>592760</xdr:colOff>
      <xdr:row>10</xdr:row>
      <xdr:rowOff>140635</xdr:rowOff>
    </xdr:to>
    <xdr:sp macro="[0]!ireixoempreendedor" textlink="">
      <xdr:nvSpPr>
        <xdr:cNvPr id="7" name="CaixaDeTexto 6"/>
        <xdr:cNvSpPr txBox="1"/>
      </xdr:nvSpPr>
      <xdr:spPr>
        <a:xfrm>
          <a:off x="3258299" y="1855135"/>
          <a:ext cx="1601661" cy="571500"/>
        </a:xfrm>
        <a:prstGeom prst="rect">
          <a:avLst/>
        </a:prstGeom>
        <a:solidFill>
          <a:schemeClr val="tx2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Eixo:</a:t>
          </a:r>
          <a:r>
            <a:rPr lang="pt-BR" sz="1100" b="1" baseline="0"/>
            <a:t>  Empreendedor</a:t>
          </a:r>
          <a:endParaRPr lang="pt-BR" sz="1100" b="1"/>
        </a:p>
      </xdr:txBody>
    </xdr:sp>
    <xdr:clientData/>
  </xdr:twoCellAnchor>
  <xdr:twoCellAnchor>
    <xdr:from>
      <xdr:col>8</xdr:col>
      <xdr:colOff>35940</xdr:colOff>
      <xdr:row>7</xdr:row>
      <xdr:rowOff>140635</xdr:rowOff>
    </xdr:from>
    <xdr:to>
      <xdr:col>10</xdr:col>
      <xdr:colOff>421976</xdr:colOff>
      <xdr:row>10</xdr:row>
      <xdr:rowOff>140635</xdr:rowOff>
    </xdr:to>
    <xdr:sp macro="[0]!ireixotecnologia" textlink="">
      <xdr:nvSpPr>
        <xdr:cNvPr id="8" name="CaixaDeTexto 7"/>
        <xdr:cNvSpPr txBox="1"/>
      </xdr:nvSpPr>
      <xdr:spPr>
        <a:xfrm>
          <a:off x="4912740" y="1855135"/>
          <a:ext cx="1605236" cy="571500"/>
        </a:xfrm>
        <a:prstGeom prst="rect">
          <a:avLst/>
        </a:prstGeom>
        <a:solidFill>
          <a:schemeClr val="tx2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Eixo: </a:t>
          </a:r>
          <a:r>
            <a:rPr lang="pt-BR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Tecnologia</a:t>
          </a:r>
        </a:p>
      </xdr:txBody>
    </xdr:sp>
    <xdr:clientData/>
  </xdr:twoCellAnchor>
  <xdr:twoCellAnchor>
    <xdr:from>
      <xdr:col>10</xdr:col>
      <xdr:colOff>474756</xdr:colOff>
      <xdr:row>7</xdr:row>
      <xdr:rowOff>140635</xdr:rowOff>
    </xdr:from>
    <xdr:to>
      <xdr:col>13</xdr:col>
      <xdr:colOff>247617</xdr:colOff>
      <xdr:row>10</xdr:row>
      <xdr:rowOff>140635</xdr:rowOff>
    </xdr:to>
    <xdr:sp macro="[0]!ireixocapital" textlink="">
      <xdr:nvSpPr>
        <xdr:cNvPr id="9" name="CaixaDeTexto 8"/>
        <xdr:cNvSpPr txBox="1"/>
      </xdr:nvSpPr>
      <xdr:spPr>
        <a:xfrm>
          <a:off x="6570756" y="1855135"/>
          <a:ext cx="1601661" cy="571500"/>
        </a:xfrm>
        <a:prstGeom prst="rect">
          <a:avLst/>
        </a:prstGeom>
        <a:solidFill>
          <a:schemeClr val="tx2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Eixo: Capital</a:t>
          </a:r>
        </a:p>
      </xdr:txBody>
    </xdr:sp>
    <xdr:clientData/>
  </xdr:twoCellAnchor>
  <xdr:twoCellAnchor>
    <xdr:from>
      <xdr:col>13</xdr:col>
      <xdr:colOff>285318</xdr:colOff>
      <xdr:row>7</xdr:row>
      <xdr:rowOff>140635</xdr:rowOff>
    </xdr:from>
    <xdr:to>
      <xdr:col>16</xdr:col>
      <xdr:colOff>58179</xdr:colOff>
      <xdr:row>10</xdr:row>
      <xdr:rowOff>140635</xdr:rowOff>
    </xdr:to>
    <xdr:sp macro="[0]!ireixomercado" textlink="">
      <xdr:nvSpPr>
        <xdr:cNvPr id="10" name="CaixaDeTexto 9"/>
        <xdr:cNvSpPr txBox="1"/>
      </xdr:nvSpPr>
      <xdr:spPr>
        <a:xfrm>
          <a:off x="8210118" y="1855135"/>
          <a:ext cx="1601661" cy="571500"/>
        </a:xfrm>
        <a:prstGeom prst="rect">
          <a:avLst/>
        </a:prstGeom>
        <a:solidFill>
          <a:schemeClr val="tx2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Eixo: Mercado</a:t>
          </a:r>
        </a:p>
      </xdr:txBody>
    </xdr:sp>
    <xdr:clientData/>
  </xdr:twoCellAnchor>
  <xdr:twoCellAnchor>
    <xdr:from>
      <xdr:col>16</xdr:col>
      <xdr:colOff>112839</xdr:colOff>
      <xdr:row>7</xdr:row>
      <xdr:rowOff>140635</xdr:rowOff>
    </xdr:from>
    <xdr:to>
      <xdr:col>18</xdr:col>
      <xdr:colOff>495300</xdr:colOff>
      <xdr:row>10</xdr:row>
      <xdr:rowOff>140635</xdr:rowOff>
    </xdr:to>
    <xdr:sp macro="[0]!ireixogestao" textlink="">
      <xdr:nvSpPr>
        <xdr:cNvPr id="30" name="CaixaDeTexto 29"/>
        <xdr:cNvSpPr txBox="1"/>
      </xdr:nvSpPr>
      <xdr:spPr>
        <a:xfrm>
          <a:off x="9866439" y="1855135"/>
          <a:ext cx="1601661" cy="571500"/>
        </a:xfrm>
        <a:prstGeom prst="rect">
          <a:avLst/>
        </a:prstGeom>
        <a:solidFill>
          <a:schemeClr val="tx2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Eixo: Gestão</a:t>
          </a:r>
        </a:p>
      </xdr:txBody>
    </xdr:sp>
    <xdr:clientData/>
  </xdr:twoCellAnchor>
  <xdr:twoCellAnchor>
    <xdr:from>
      <xdr:col>5</xdr:col>
      <xdr:colOff>219751</xdr:colOff>
      <xdr:row>14</xdr:row>
      <xdr:rowOff>121585</xdr:rowOff>
    </xdr:from>
    <xdr:to>
      <xdr:col>8</xdr:col>
      <xdr:colOff>334827</xdr:colOff>
      <xdr:row>20</xdr:row>
      <xdr:rowOff>159685</xdr:rowOff>
    </xdr:to>
    <xdr:sp macro="[0]!irgrafico1" textlink="">
      <xdr:nvSpPr>
        <xdr:cNvPr id="13" name="CaixaDeTexto 12"/>
        <xdr:cNvSpPr txBox="1"/>
      </xdr:nvSpPr>
      <xdr:spPr>
        <a:xfrm>
          <a:off x="3267751" y="3169585"/>
          <a:ext cx="1943876" cy="11811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Perfil Profissional dos Empreendedores</a:t>
          </a:r>
        </a:p>
      </xdr:txBody>
    </xdr:sp>
    <xdr:clientData/>
  </xdr:twoCellAnchor>
  <xdr:twoCellAnchor>
    <xdr:from>
      <xdr:col>8</xdr:col>
      <xdr:colOff>377206</xdr:colOff>
      <xdr:row>14</xdr:row>
      <xdr:rowOff>121585</xdr:rowOff>
    </xdr:from>
    <xdr:to>
      <xdr:col>11</xdr:col>
      <xdr:colOff>490140</xdr:colOff>
      <xdr:row>20</xdr:row>
      <xdr:rowOff>159685</xdr:rowOff>
    </xdr:to>
    <xdr:sp macro="[0]!irgrafico2" textlink="">
      <xdr:nvSpPr>
        <xdr:cNvPr id="14" name="CaixaDeTexto 13"/>
        <xdr:cNvSpPr txBox="1"/>
      </xdr:nvSpPr>
      <xdr:spPr>
        <a:xfrm>
          <a:off x="5254006" y="3169585"/>
          <a:ext cx="1941734" cy="11811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Maturidade do Empreendimento</a:t>
          </a:r>
        </a:p>
        <a:p>
          <a:pPr algn="ctr"/>
          <a:endParaRPr lang="pt-BR" sz="1100" b="1" baseline="0"/>
        </a:p>
        <a:p>
          <a:pPr algn="ctr"/>
          <a:r>
            <a:rPr lang="pt-BR" sz="1100" b="1" baseline="0"/>
            <a:t>Sintético</a:t>
          </a:r>
          <a:endParaRPr lang="pt-BR" sz="1100" b="1"/>
        </a:p>
      </xdr:txBody>
    </xdr:sp>
    <xdr:clientData/>
  </xdr:twoCellAnchor>
  <xdr:twoCellAnchor>
    <xdr:from>
      <xdr:col>11</xdr:col>
      <xdr:colOff>534766</xdr:colOff>
      <xdr:row>14</xdr:row>
      <xdr:rowOff>121585</xdr:rowOff>
    </xdr:from>
    <xdr:to>
      <xdr:col>15</xdr:col>
      <xdr:colOff>38100</xdr:colOff>
      <xdr:row>20</xdr:row>
      <xdr:rowOff>159685</xdr:rowOff>
    </xdr:to>
    <xdr:sp macro="[0]!irgrafico3" textlink="">
      <xdr:nvSpPr>
        <xdr:cNvPr id="32" name="CaixaDeTexto 31"/>
        <xdr:cNvSpPr txBox="1"/>
      </xdr:nvSpPr>
      <xdr:spPr>
        <a:xfrm>
          <a:off x="7240366" y="3169585"/>
          <a:ext cx="1941734" cy="11811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Maturidade do Empreendimento</a:t>
          </a:r>
        </a:p>
        <a:p>
          <a:pPr algn="ctr"/>
          <a:endParaRPr lang="pt-BR" sz="1100" b="1"/>
        </a:p>
        <a:p>
          <a:pPr algn="ctr"/>
          <a:r>
            <a:rPr lang="pt-BR" sz="1100" b="1"/>
            <a:t>Analítico</a:t>
          </a:r>
        </a:p>
      </xdr:txBody>
    </xdr:sp>
    <xdr:clientData/>
  </xdr:twoCellAnchor>
  <xdr:twoCellAnchor>
    <xdr:from>
      <xdr:col>5</xdr:col>
      <xdr:colOff>210300</xdr:colOff>
      <xdr:row>4</xdr:row>
      <xdr:rowOff>93010</xdr:rowOff>
    </xdr:from>
    <xdr:to>
      <xdr:col>8</xdr:col>
      <xdr:colOff>380204</xdr:colOff>
      <xdr:row>7</xdr:row>
      <xdr:rowOff>93010</xdr:rowOff>
    </xdr:to>
    <xdr:sp macro="[0]!irperfilprofissional1" textlink="">
      <xdr:nvSpPr>
        <xdr:cNvPr id="3" name="CaixaDeTexto 2"/>
        <xdr:cNvSpPr txBox="1"/>
      </xdr:nvSpPr>
      <xdr:spPr>
        <a:xfrm>
          <a:off x="3258300" y="1236010"/>
          <a:ext cx="1998704" cy="5715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Perfil</a:t>
          </a:r>
          <a:r>
            <a:rPr lang="pt-BR" sz="1100" b="1" baseline="0">
              <a:solidFill>
                <a:sysClr val="windowText" lastClr="000000"/>
              </a:solidFill>
            </a:rPr>
            <a:t> Profissional</a:t>
          </a:r>
        </a:p>
      </xdr:txBody>
    </xdr:sp>
    <xdr:clientData/>
  </xdr:twoCellAnchor>
  <xdr:twoCellAnchor>
    <xdr:from>
      <xdr:col>8</xdr:col>
      <xdr:colOff>446067</xdr:colOff>
      <xdr:row>4</xdr:row>
      <xdr:rowOff>93010</xdr:rowOff>
    </xdr:from>
    <xdr:to>
      <xdr:col>12</xdr:col>
      <xdr:colOff>10833</xdr:colOff>
      <xdr:row>7</xdr:row>
      <xdr:rowOff>93010</xdr:rowOff>
    </xdr:to>
    <xdr:sp macro="[0]!irperfilprofissional2" textlink="">
      <xdr:nvSpPr>
        <xdr:cNvPr id="4" name="CaixaDeTexto 3"/>
        <xdr:cNvSpPr txBox="1"/>
      </xdr:nvSpPr>
      <xdr:spPr>
        <a:xfrm>
          <a:off x="5322867" y="1236010"/>
          <a:ext cx="2003166" cy="5715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marL="0" indent="0" algn="ctr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Perfil Profissional</a:t>
          </a:r>
        </a:p>
      </xdr:txBody>
    </xdr:sp>
    <xdr:clientData/>
  </xdr:twoCellAnchor>
  <xdr:twoCellAnchor>
    <xdr:from>
      <xdr:col>12</xdr:col>
      <xdr:colOff>76697</xdr:colOff>
      <xdr:row>4</xdr:row>
      <xdr:rowOff>93010</xdr:rowOff>
    </xdr:from>
    <xdr:to>
      <xdr:col>15</xdr:col>
      <xdr:colOff>246601</xdr:colOff>
      <xdr:row>7</xdr:row>
      <xdr:rowOff>93010</xdr:rowOff>
    </xdr:to>
    <xdr:sp macro="[0]!irperfilprofissional3" textlink="">
      <xdr:nvSpPr>
        <xdr:cNvPr id="5" name="CaixaDeTexto 4"/>
        <xdr:cNvSpPr txBox="1"/>
      </xdr:nvSpPr>
      <xdr:spPr>
        <a:xfrm>
          <a:off x="7391897" y="1236010"/>
          <a:ext cx="1998704" cy="5715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marL="0" indent="0" algn="ctr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Perfil Profissional</a:t>
          </a:r>
        </a:p>
        <a:p>
          <a:pPr marL="0" indent="0" algn="ctr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Empreendedor 3</a:t>
          </a:r>
        </a:p>
      </xdr:txBody>
    </xdr:sp>
    <xdr:clientData/>
  </xdr:twoCellAnchor>
  <xdr:twoCellAnchor>
    <xdr:from>
      <xdr:col>15</xdr:col>
      <xdr:colOff>315872</xdr:colOff>
      <xdr:row>4</xdr:row>
      <xdr:rowOff>93010</xdr:rowOff>
    </xdr:from>
    <xdr:to>
      <xdr:col>18</xdr:col>
      <xdr:colOff>485776</xdr:colOff>
      <xdr:row>7</xdr:row>
      <xdr:rowOff>93010</xdr:rowOff>
    </xdr:to>
    <xdr:sp macro="[0]!irperfilprofissional4" textlink="">
      <xdr:nvSpPr>
        <xdr:cNvPr id="23" name="CaixaDeTexto 22"/>
        <xdr:cNvSpPr txBox="1"/>
      </xdr:nvSpPr>
      <xdr:spPr>
        <a:xfrm>
          <a:off x="9459872" y="1236010"/>
          <a:ext cx="1998704" cy="5715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marL="0" indent="0" algn="ctr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Perfil Profissional</a:t>
          </a:r>
        </a:p>
        <a:p>
          <a:pPr marL="0" indent="0" algn="ctr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Empreendedor 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8" name="CaixaDeTexto 7"/>
        <xdr:cNvSpPr txBox="1"/>
      </xdr:nvSpPr>
      <xdr:spPr>
        <a:xfrm>
          <a:off x="11391900" y="76200"/>
          <a:ext cx="914400" cy="3333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371475</xdr:colOff>
      <xdr:row>116</xdr:row>
      <xdr:rowOff>66675</xdr:rowOff>
    </xdr:from>
    <xdr:to>
      <xdr:col>20</xdr:col>
      <xdr:colOff>572328</xdr:colOff>
      <xdr:row>119</xdr:row>
      <xdr:rowOff>74130</xdr:rowOff>
    </xdr:to>
    <xdr:sp macro="[0]!irparamenu" textlink="">
      <xdr:nvSpPr>
        <xdr:cNvPr id="10" name="CaixaDeTexto 9"/>
        <xdr:cNvSpPr txBox="1"/>
      </xdr:nvSpPr>
      <xdr:spPr>
        <a:xfrm>
          <a:off x="10239375" y="23326725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181705</xdr:colOff>
      <xdr:row>1</xdr:row>
      <xdr:rowOff>203940</xdr:rowOff>
    </xdr:to>
    <xdr:pic>
      <xdr:nvPicPr>
        <xdr:cNvPr id="11" name="Imagem 10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1925" y="47625"/>
          <a:ext cx="1962880" cy="442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180975</xdr:rowOff>
        </xdr:from>
        <xdr:to>
          <xdr:col>20</xdr:col>
          <xdr:colOff>590550</xdr:colOff>
          <xdr:row>10</xdr:row>
          <xdr:rowOff>28575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1. Quando desconheço algo, busco informações necessárias para o entendimento do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</xdr:row>
          <xdr:rowOff>0</xdr:rowOff>
        </xdr:from>
        <xdr:to>
          <xdr:col>5</xdr:col>
          <xdr:colOff>66675</xdr:colOff>
          <xdr:row>9</xdr:row>
          <xdr:rowOff>28575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</xdr:row>
          <xdr:rowOff>0</xdr:rowOff>
        </xdr:from>
        <xdr:to>
          <xdr:col>9</xdr:col>
          <xdr:colOff>0</xdr:colOff>
          <xdr:row>9</xdr:row>
          <xdr:rowOff>28575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</xdr:row>
          <xdr:rowOff>0</xdr:rowOff>
        </xdr:from>
        <xdr:to>
          <xdr:col>12</xdr:col>
          <xdr:colOff>542925</xdr:colOff>
          <xdr:row>9</xdr:row>
          <xdr:rowOff>28575</xdr:rowOff>
        </xdr:to>
        <xdr:sp macro="" textlink="">
          <xdr:nvSpPr>
            <xdr:cNvPr id="1100" name="Option 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</xdr:row>
          <xdr:rowOff>0</xdr:rowOff>
        </xdr:from>
        <xdr:to>
          <xdr:col>16</xdr:col>
          <xdr:colOff>476250</xdr:colOff>
          <xdr:row>9</xdr:row>
          <xdr:rowOff>28575</xdr:rowOff>
        </xdr:to>
        <xdr:sp macro="" textlink="">
          <xdr:nvSpPr>
            <xdr:cNvPr id="1220" name="Option Button 196" hidden="1">
              <a:extLst>
                <a:ext uri="{63B3BB69-23CF-44E3-9099-C40C66FF867C}">
                  <a14:compatExt spid="_x0000_s1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</xdr:row>
          <xdr:rowOff>0</xdr:rowOff>
        </xdr:from>
        <xdr:to>
          <xdr:col>20</xdr:col>
          <xdr:colOff>409575</xdr:colOff>
          <xdr:row>9</xdr:row>
          <xdr:rowOff>28575</xdr:rowOff>
        </xdr:to>
        <xdr:sp macro="" textlink="">
          <xdr:nvSpPr>
            <xdr:cNvPr id="1221" name="Option Button 197" hidden="1">
              <a:extLst>
                <a:ext uri="{63B3BB69-23CF-44E3-9099-C40C66FF867C}">
                  <a14:compatExt spid="_x0000_s1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114300</xdr:rowOff>
        </xdr:from>
        <xdr:to>
          <xdr:col>20</xdr:col>
          <xdr:colOff>590550</xdr:colOff>
          <xdr:row>13</xdr:row>
          <xdr:rowOff>152400</xdr:rowOff>
        </xdr:to>
        <xdr:sp macro="" textlink="">
          <xdr:nvSpPr>
            <xdr:cNvPr id="1401" name="Group Box 377" hidden="1">
              <a:extLst>
                <a:ext uri="{63B3BB69-23CF-44E3-9099-C40C66FF867C}">
                  <a14:compatExt spid="_x0000_s1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2. As pessoas concordam comigo baseadas em meus argumentos ou estratégias que adoto.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</xdr:row>
          <xdr:rowOff>123825</xdr:rowOff>
        </xdr:from>
        <xdr:to>
          <xdr:col>5</xdr:col>
          <xdr:colOff>66675</xdr:colOff>
          <xdr:row>12</xdr:row>
          <xdr:rowOff>152400</xdr:rowOff>
        </xdr:to>
        <xdr:sp macro="" textlink="">
          <xdr:nvSpPr>
            <xdr:cNvPr id="1402" name="Option Button 378" hidden="1">
              <a:extLst>
                <a:ext uri="{63B3BB69-23CF-44E3-9099-C40C66FF867C}">
                  <a14:compatExt spid="_x0000_s1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123825</xdr:rowOff>
        </xdr:from>
        <xdr:to>
          <xdr:col>9</xdr:col>
          <xdr:colOff>0</xdr:colOff>
          <xdr:row>12</xdr:row>
          <xdr:rowOff>152400</xdr:rowOff>
        </xdr:to>
        <xdr:sp macro="" textlink="">
          <xdr:nvSpPr>
            <xdr:cNvPr id="1403" name="Option Button 379" hidden="1">
              <a:extLst>
                <a:ext uri="{63B3BB69-23CF-44E3-9099-C40C66FF867C}">
                  <a14:compatExt spid="_x0000_s1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123825</xdr:rowOff>
        </xdr:from>
        <xdr:to>
          <xdr:col>12</xdr:col>
          <xdr:colOff>542925</xdr:colOff>
          <xdr:row>12</xdr:row>
          <xdr:rowOff>152400</xdr:rowOff>
        </xdr:to>
        <xdr:sp macro="" textlink="">
          <xdr:nvSpPr>
            <xdr:cNvPr id="1404" name="Option Button 380" hidden="1">
              <a:extLst>
                <a:ext uri="{63B3BB69-23CF-44E3-9099-C40C66FF867C}">
                  <a14:compatExt spid="_x0000_s1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11</xdr:row>
          <xdr:rowOff>123825</xdr:rowOff>
        </xdr:from>
        <xdr:to>
          <xdr:col>16</xdr:col>
          <xdr:colOff>476250</xdr:colOff>
          <xdr:row>12</xdr:row>
          <xdr:rowOff>152400</xdr:rowOff>
        </xdr:to>
        <xdr:sp macro="" textlink="">
          <xdr:nvSpPr>
            <xdr:cNvPr id="1405" name="Option Button 381" hidden="1">
              <a:extLst>
                <a:ext uri="{63B3BB69-23CF-44E3-9099-C40C66FF867C}">
                  <a14:compatExt spid="_x0000_s1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11</xdr:row>
          <xdr:rowOff>123825</xdr:rowOff>
        </xdr:from>
        <xdr:to>
          <xdr:col>20</xdr:col>
          <xdr:colOff>409575</xdr:colOff>
          <xdr:row>12</xdr:row>
          <xdr:rowOff>152400</xdr:rowOff>
        </xdr:to>
        <xdr:sp macro="" textlink="">
          <xdr:nvSpPr>
            <xdr:cNvPr id="1406" name="Option Button 382" hidden="1">
              <a:extLst>
                <a:ext uri="{63B3BB69-23CF-44E3-9099-C40C66FF867C}">
                  <a14:compatExt spid="_x0000_s1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47625</xdr:rowOff>
        </xdr:from>
        <xdr:to>
          <xdr:col>20</xdr:col>
          <xdr:colOff>590550</xdr:colOff>
          <xdr:row>17</xdr:row>
          <xdr:rowOff>85725</xdr:rowOff>
        </xdr:to>
        <xdr:sp macro="" textlink="">
          <xdr:nvSpPr>
            <xdr:cNvPr id="1407" name="Group Box 383" hidden="1">
              <a:extLst>
                <a:ext uri="{63B3BB69-23CF-44E3-9099-C40C66FF867C}">
                  <a14:compatExt spid="_x0000_s1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3. Escolho situações em que posso controlar ao máximo os resultados finais, considerando as possibilidades de êxito ou fracasso antes de agir.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15</xdr:row>
          <xdr:rowOff>57150</xdr:rowOff>
        </xdr:from>
        <xdr:to>
          <xdr:col>5</xdr:col>
          <xdr:colOff>66675</xdr:colOff>
          <xdr:row>16</xdr:row>
          <xdr:rowOff>85725</xdr:rowOff>
        </xdr:to>
        <xdr:sp macro="" textlink="">
          <xdr:nvSpPr>
            <xdr:cNvPr id="1408" name="Option Button 384" hidden="1">
              <a:extLst>
                <a:ext uri="{63B3BB69-23CF-44E3-9099-C40C66FF867C}">
                  <a14:compatExt spid="_x0000_s1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15</xdr:row>
          <xdr:rowOff>57150</xdr:rowOff>
        </xdr:from>
        <xdr:to>
          <xdr:col>9</xdr:col>
          <xdr:colOff>0</xdr:colOff>
          <xdr:row>16</xdr:row>
          <xdr:rowOff>85725</xdr:rowOff>
        </xdr:to>
        <xdr:sp macro="" textlink="">
          <xdr:nvSpPr>
            <xdr:cNvPr id="1409" name="Option Button 385" hidden="1">
              <a:extLst>
                <a:ext uri="{63B3BB69-23CF-44E3-9099-C40C66FF867C}">
                  <a14:compatExt spid="_x0000_s1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57150</xdr:rowOff>
        </xdr:from>
        <xdr:to>
          <xdr:col>12</xdr:col>
          <xdr:colOff>542925</xdr:colOff>
          <xdr:row>16</xdr:row>
          <xdr:rowOff>85725</xdr:rowOff>
        </xdr:to>
        <xdr:sp macro="" textlink="">
          <xdr:nvSpPr>
            <xdr:cNvPr id="1410" name="Option Button 386" hidden="1">
              <a:extLst>
                <a:ext uri="{63B3BB69-23CF-44E3-9099-C40C66FF867C}">
                  <a14:compatExt spid="_x0000_s1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15</xdr:row>
          <xdr:rowOff>57150</xdr:rowOff>
        </xdr:from>
        <xdr:to>
          <xdr:col>16</xdr:col>
          <xdr:colOff>476250</xdr:colOff>
          <xdr:row>16</xdr:row>
          <xdr:rowOff>85725</xdr:rowOff>
        </xdr:to>
        <xdr:sp macro="" textlink="">
          <xdr:nvSpPr>
            <xdr:cNvPr id="1411" name="Option Button 387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15</xdr:row>
          <xdr:rowOff>57150</xdr:rowOff>
        </xdr:from>
        <xdr:to>
          <xdr:col>20</xdr:col>
          <xdr:colOff>409575</xdr:colOff>
          <xdr:row>16</xdr:row>
          <xdr:rowOff>85725</xdr:rowOff>
        </xdr:to>
        <xdr:sp macro="" textlink="">
          <xdr:nvSpPr>
            <xdr:cNvPr id="1412" name="Option Button 388" hidden="1">
              <a:extLst>
                <a:ext uri="{63B3BB69-23CF-44E3-9099-C40C66FF867C}">
                  <a14:compatExt spid="_x0000_s1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171450</xdr:rowOff>
        </xdr:from>
        <xdr:to>
          <xdr:col>20</xdr:col>
          <xdr:colOff>590550</xdr:colOff>
          <xdr:row>21</xdr:row>
          <xdr:rowOff>19050</xdr:rowOff>
        </xdr:to>
        <xdr:sp macro="" textlink="">
          <xdr:nvSpPr>
            <xdr:cNvPr id="1413" name="Group Box 389" hidden="1">
              <a:extLst>
                <a:ext uri="{63B3BB69-23CF-44E3-9099-C40C66FF867C}">
                  <a14:compatExt spid="_x0000_s1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4. Diante das necessidades do mercado, implanto inovações nos produtos/serviços ofertados pelo empreendimento na minha responsabilidade.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18</xdr:row>
          <xdr:rowOff>180975</xdr:rowOff>
        </xdr:from>
        <xdr:to>
          <xdr:col>5</xdr:col>
          <xdr:colOff>66675</xdr:colOff>
          <xdr:row>20</xdr:row>
          <xdr:rowOff>19050</xdr:rowOff>
        </xdr:to>
        <xdr:sp macro="" textlink="">
          <xdr:nvSpPr>
            <xdr:cNvPr id="1414" name="Option Button 390" hidden="1">
              <a:extLst>
                <a:ext uri="{63B3BB69-23CF-44E3-9099-C40C66FF867C}">
                  <a14:compatExt spid="_x0000_s1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18</xdr:row>
          <xdr:rowOff>180975</xdr:rowOff>
        </xdr:from>
        <xdr:to>
          <xdr:col>9</xdr:col>
          <xdr:colOff>0</xdr:colOff>
          <xdr:row>20</xdr:row>
          <xdr:rowOff>19050</xdr:rowOff>
        </xdr:to>
        <xdr:sp macro="" textlink="">
          <xdr:nvSpPr>
            <xdr:cNvPr id="1415" name="Option Button 391" hidden="1">
              <a:extLst>
                <a:ext uri="{63B3BB69-23CF-44E3-9099-C40C66FF867C}">
                  <a14:compatExt spid="_x0000_s1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18</xdr:row>
          <xdr:rowOff>180975</xdr:rowOff>
        </xdr:from>
        <xdr:to>
          <xdr:col>12</xdr:col>
          <xdr:colOff>542925</xdr:colOff>
          <xdr:row>20</xdr:row>
          <xdr:rowOff>19050</xdr:rowOff>
        </xdr:to>
        <xdr:sp macro="" textlink="">
          <xdr:nvSpPr>
            <xdr:cNvPr id="1416" name="Option Button 392" hidden="1">
              <a:extLst>
                <a:ext uri="{63B3BB69-23CF-44E3-9099-C40C66FF867C}">
                  <a14:compatExt spid="_x0000_s1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18</xdr:row>
          <xdr:rowOff>180975</xdr:rowOff>
        </xdr:from>
        <xdr:to>
          <xdr:col>16</xdr:col>
          <xdr:colOff>476250</xdr:colOff>
          <xdr:row>20</xdr:row>
          <xdr:rowOff>19050</xdr:rowOff>
        </xdr:to>
        <xdr:sp macro="" textlink="">
          <xdr:nvSpPr>
            <xdr:cNvPr id="1417" name="Option Button 393" hidden="1">
              <a:extLst>
                <a:ext uri="{63B3BB69-23CF-44E3-9099-C40C66FF867C}">
                  <a14:compatExt spid="_x0000_s1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18</xdr:row>
          <xdr:rowOff>180975</xdr:rowOff>
        </xdr:from>
        <xdr:to>
          <xdr:col>20</xdr:col>
          <xdr:colOff>409575</xdr:colOff>
          <xdr:row>20</xdr:row>
          <xdr:rowOff>19050</xdr:rowOff>
        </xdr:to>
        <xdr:sp macro="" textlink="">
          <xdr:nvSpPr>
            <xdr:cNvPr id="1418" name="Option Button 394" hidden="1">
              <a:extLst>
                <a:ext uri="{63B3BB69-23CF-44E3-9099-C40C66FF867C}">
                  <a14:compatExt spid="_x0000_s1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104775</xdr:rowOff>
        </xdr:from>
        <xdr:to>
          <xdr:col>20</xdr:col>
          <xdr:colOff>590550</xdr:colOff>
          <xdr:row>24</xdr:row>
          <xdr:rowOff>142875</xdr:rowOff>
        </xdr:to>
        <xdr:sp macro="" textlink="">
          <xdr:nvSpPr>
            <xdr:cNvPr id="1419" name="Group Box 395" hidden="1">
              <a:extLst>
                <a:ext uri="{63B3BB69-23CF-44E3-9099-C40C66FF867C}">
                  <a14:compatExt spid="_x0000_s1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5. Reconheço minha responsabilidade nas falhas e eventuais prejuízos financeiros do empreendimento e, além disso, tomo providências para corrigi-los.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22</xdr:row>
          <xdr:rowOff>114300</xdr:rowOff>
        </xdr:from>
        <xdr:to>
          <xdr:col>5</xdr:col>
          <xdr:colOff>66675</xdr:colOff>
          <xdr:row>23</xdr:row>
          <xdr:rowOff>142875</xdr:rowOff>
        </xdr:to>
        <xdr:sp macro="" textlink="">
          <xdr:nvSpPr>
            <xdr:cNvPr id="1420" name="Option Button 396" hidden="1">
              <a:extLst>
                <a:ext uri="{63B3BB69-23CF-44E3-9099-C40C66FF867C}">
                  <a14:compatExt spid="_x0000_s1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22</xdr:row>
          <xdr:rowOff>114300</xdr:rowOff>
        </xdr:from>
        <xdr:to>
          <xdr:col>9</xdr:col>
          <xdr:colOff>0</xdr:colOff>
          <xdr:row>23</xdr:row>
          <xdr:rowOff>142875</xdr:rowOff>
        </xdr:to>
        <xdr:sp macro="" textlink="">
          <xdr:nvSpPr>
            <xdr:cNvPr id="1421" name="Option Button 397" hidden="1">
              <a:extLst>
                <a:ext uri="{63B3BB69-23CF-44E3-9099-C40C66FF867C}">
                  <a14:compatExt spid="_x0000_s1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114300</xdr:rowOff>
        </xdr:from>
        <xdr:to>
          <xdr:col>12</xdr:col>
          <xdr:colOff>542925</xdr:colOff>
          <xdr:row>23</xdr:row>
          <xdr:rowOff>142875</xdr:rowOff>
        </xdr:to>
        <xdr:sp macro="" textlink="">
          <xdr:nvSpPr>
            <xdr:cNvPr id="1422" name="Option Button 398" hidden="1">
              <a:extLst>
                <a:ext uri="{63B3BB69-23CF-44E3-9099-C40C66FF867C}">
                  <a14:compatExt spid="_x0000_s1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22</xdr:row>
          <xdr:rowOff>114300</xdr:rowOff>
        </xdr:from>
        <xdr:to>
          <xdr:col>16</xdr:col>
          <xdr:colOff>476250</xdr:colOff>
          <xdr:row>23</xdr:row>
          <xdr:rowOff>142875</xdr:rowOff>
        </xdr:to>
        <xdr:sp macro="" textlink="">
          <xdr:nvSpPr>
            <xdr:cNvPr id="1423" name="Option Button 399" hidden="1">
              <a:extLst>
                <a:ext uri="{63B3BB69-23CF-44E3-9099-C40C66FF867C}">
                  <a14:compatExt spid="_x0000_s1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22</xdr:row>
          <xdr:rowOff>114300</xdr:rowOff>
        </xdr:from>
        <xdr:to>
          <xdr:col>20</xdr:col>
          <xdr:colOff>409575</xdr:colOff>
          <xdr:row>23</xdr:row>
          <xdr:rowOff>142875</xdr:rowOff>
        </xdr:to>
        <xdr:sp macro="" textlink="">
          <xdr:nvSpPr>
            <xdr:cNvPr id="1424" name="Option Button 400" hidden="1">
              <a:extLst>
                <a:ext uri="{63B3BB69-23CF-44E3-9099-C40C66FF867C}">
                  <a14:compatExt spid="_x0000_s1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38100</xdr:rowOff>
        </xdr:from>
        <xdr:to>
          <xdr:col>20</xdr:col>
          <xdr:colOff>590550</xdr:colOff>
          <xdr:row>28</xdr:row>
          <xdr:rowOff>76200</xdr:rowOff>
        </xdr:to>
        <xdr:sp macro="" textlink="">
          <xdr:nvSpPr>
            <xdr:cNvPr id="1425" name="Group Box 401" hidden="1">
              <a:extLst>
                <a:ext uri="{63B3BB69-23CF-44E3-9099-C40C66FF867C}">
                  <a14:compatExt spid="_x0000_s1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6. Acredito que posso ser bem sucedido em qualquer atividade que me proponho executar, mesmo sendo algo difícil ou desafiador.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26</xdr:row>
          <xdr:rowOff>47625</xdr:rowOff>
        </xdr:from>
        <xdr:to>
          <xdr:col>5</xdr:col>
          <xdr:colOff>66675</xdr:colOff>
          <xdr:row>27</xdr:row>
          <xdr:rowOff>76200</xdr:rowOff>
        </xdr:to>
        <xdr:sp macro="" textlink="">
          <xdr:nvSpPr>
            <xdr:cNvPr id="1426" name="Option Button 402" hidden="1">
              <a:extLst>
                <a:ext uri="{63B3BB69-23CF-44E3-9099-C40C66FF867C}">
                  <a14:compatExt spid="_x0000_s1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47625</xdr:rowOff>
        </xdr:from>
        <xdr:to>
          <xdr:col>9</xdr:col>
          <xdr:colOff>0</xdr:colOff>
          <xdr:row>27</xdr:row>
          <xdr:rowOff>76200</xdr:rowOff>
        </xdr:to>
        <xdr:sp macro="" textlink="">
          <xdr:nvSpPr>
            <xdr:cNvPr id="1427" name="Option Button 403" hidden="1">
              <a:extLst>
                <a:ext uri="{63B3BB69-23CF-44E3-9099-C40C66FF867C}">
                  <a14:compatExt spid="_x0000_s1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47625</xdr:rowOff>
        </xdr:from>
        <xdr:to>
          <xdr:col>12</xdr:col>
          <xdr:colOff>542925</xdr:colOff>
          <xdr:row>27</xdr:row>
          <xdr:rowOff>76200</xdr:rowOff>
        </xdr:to>
        <xdr:sp macro="" textlink="">
          <xdr:nvSpPr>
            <xdr:cNvPr id="1428" name="Option Button 404" hidden="1">
              <a:extLst>
                <a:ext uri="{63B3BB69-23CF-44E3-9099-C40C66FF867C}">
                  <a14:compatExt spid="_x0000_s1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26</xdr:row>
          <xdr:rowOff>47625</xdr:rowOff>
        </xdr:from>
        <xdr:to>
          <xdr:col>16</xdr:col>
          <xdr:colOff>476250</xdr:colOff>
          <xdr:row>27</xdr:row>
          <xdr:rowOff>76200</xdr:rowOff>
        </xdr:to>
        <xdr:sp macro="" textlink="">
          <xdr:nvSpPr>
            <xdr:cNvPr id="1429" name="Option Button 405" hidden="1">
              <a:extLst>
                <a:ext uri="{63B3BB69-23CF-44E3-9099-C40C66FF867C}">
                  <a14:compatExt spid="_x0000_s1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26</xdr:row>
          <xdr:rowOff>47625</xdr:rowOff>
        </xdr:from>
        <xdr:to>
          <xdr:col>20</xdr:col>
          <xdr:colOff>409575</xdr:colOff>
          <xdr:row>27</xdr:row>
          <xdr:rowOff>76200</xdr:rowOff>
        </xdr:to>
        <xdr:sp macro="" textlink="">
          <xdr:nvSpPr>
            <xdr:cNvPr id="1430" name="Option Button 406" hidden="1">
              <a:extLst>
                <a:ext uri="{63B3BB69-23CF-44E3-9099-C40C66FF867C}">
                  <a14:compatExt spid="_x0000_s1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133350</xdr:rowOff>
        </xdr:from>
        <xdr:to>
          <xdr:col>20</xdr:col>
          <xdr:colOff>590550</xdr:colOff>
          <xdr:row>31</xdr:row>
          <xdr:rowOff>171450</xdr:rowOff>
        </xdr:to>
        <xdr:sp macro="" textlink="">
          <xdr:nvSpPr>
            <xdr:cNvPr id="1431" name="Group Box 407" hidden="1">
              <a:extLst>
                <a:ext uri="{63B3BB69-23CF-44E3-9099-C40C66FF867C}">
                  <a14:compatExt spid="_x0000_s1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7. Meu rendimento no trabalho é bastante eficaz, pois faço as coisas de acordo com o estabelecido, dando ênfase à otimização do tempo.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29</xdr:row>
          <xdr:rowOff>142875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432" name="Option Button 408" hidden="1">
              <a:extLst>
                <a:ext uri="{63B3BB69-23CF-44E3-9099-C40C66FF867C}">
                  <a14:compatExt spid="_x0000_s1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29</xdr:row>
          <xdr:rowOff>142875</xdr:rowOff>
        </xdr:from>
        <xdr:to>
          <xdr:col>9</xdr:col>
          <xdr:colOff>0</xdr:colOff>
          <xdr:row>30</xdr:row>
          <xdr:rowOff>171450</xdr:rowOff>
        </xdr:to>
        <xdr:sp macro="" textlink="">
          <xdr:nvSpPr>
            <xdr:cNvPr id="1433" name="Option Button 409" hidden="1">
              <a:extLst>
                <a:ext uri="{63B3BB69-23CF-44E3-9099-C40C66FF867C}">
                  <a14:compatExt spid="_x0000_s1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142875</xdr:rowOff>
        </xdr:from>
        <xdr:to>
          <xdr:col>12</xdr:col>
          <xdr:colOff>542925</xdr:colOff>
          <xdr:row>30</xdr:row>
          <xdr:rowOff>171450</xdr:rowOff>
        </xdr:to>
        <xdr:sp macro="" textlink="">
          <xdr:nvSpPr>
            <xdr:cNvPr id="1434" name="Option Button 410" hidden="1">
              <a:extLst>
                <a:ext uri="{63B3BB69-23CF-44E3-9099-C40C66FF867C}">
                  <a14:compatExt spid="_x0000_s1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29</xdr:row>
          <xdr:rowOff>142875</xdr:rowOff>
        </xdr:from>
        <xdr:to>
          <xdr:col>16</xdr:col>
          <xdr:colOff>476250</xdr:colOff>
          <xdr:row>30</xdr:row>
          <xdr:rowOff>171450</xdr:rowOff>
        </xdr:to>
        <xdr:sp macro="" textlink="">
          <xdr:nvSpPr>
            <xdr:cNvPr id="1435" name="Option Button 411" hidden="1">
              <a:extLst>
                <a:ext uri="{63B3BB69-23CF-44E3-9099-C40C66FF867C}">
                  <a14:compatExt spid="_x0000_s1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29</xdr:row>
          <xdr:rowOff>142875</xdr:rowOff>
        </xdr:from>
        <xdr:to>
          <xdr:col>20</xdr:col>
          <xdr:colOff>409575</xdr:colOff>
          <xdr:row>30</xdr:row>
          <xdr:rowOff>171450</xdr:rowOff>
        </xdr:to>
        <xdr:sp macro="" textlink="">
          <xdr:nvSpPr>
            <xdr:cNvPr id="1436" name="Option Button 412" hidden="1">
              <a:extLst>
                <a:ext uri="{63B3BB69-23CF-44E3-9099-C40C66FF867C}">
                  <a14:compatExt spid="_x0000_s1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66675</xdr:rowOff>
        </xdr:from>
        <xdr:to>
          <xdr:col>20</xdr:col>
          <xdr:colOff>590550</xdr:colOff>
          <xdr:row>35</xdr:row>
          <xdr:rowOff>104775</xdr:rowOff>
        </xdr:to>
        <xdr:sp macro="" textlink="">
          <xdr:nvSpPr>
            <xdr:cNvPr id="1437" name="Group Box 413" hidden="1">
              <a:extLst>
                <a:ext uri="{63B3BB69-23CF-44E3-9099-C40C66FF867C}">
                  <a14:compatExt spid="_x0000_s1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8. Não acredito que a minha opinião seja mais importante do que de outras pessoas.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33</xdr:row>
          <xdr:rowOff>76200</xdr:rowOff>
        </xdr:from>
        <xdr:to>
          <xdr:col>5</xdr:col>
          <xdr:colOff>66675</xdr:colOff>
          <xdr:row>34</xdr:row>
          <xdr:rowOff>104775</xdr:rowOff>
        </xdr:to>
        <xdr:sp macro="" textlink="">
          <xdr:nvSpPr>
            <xdr:cNvPr id="1438" name="Option Button 414" hidden="1">
              <a:extLst>
                <a:ext uri="{63B3BB69-23CF-44E3-9099-C40C66FF867C}">
                  <a14:compatExt spid="_x0000_s1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33</xdr:row>
          <xdr:rowOff>76200</xdr:rowOff>
        </xdr:from>
        <xdr:to>
          <xdr:col>9</xdr:col>
          <xdr:colOff>0</xdr:colOff>
          <xdr:row>34</xdr:row>
          <xdr:rowOff>104775</xdr:rowOff>
        </xdr:to>
        <xdr:sp macro="" textlink="">
          <xdr:nvSpPr>
            <xdr:cNvPr id="1439" name="Option Button 415" hidden="1">
              <a:extLst>
                <a:ext uri="{63B3BB69-23CF-44E3-9099-C40C66FF867C}">
                  <a14:compatExt spid="_x0000_s1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76200</xdr:rowOff>
        </xdr:from>
        <xdr:to>
          <xdr:col>12</xdr:col>
          <xdr:colOff>542925</xdr:colOff>
          <xdr:row>34</xdr:row>
          <xdr:rowOff>104775</xdr:rowOff>
        </xdr:to>
        <xdr:sp macro="" textlink="">
          <xdr:nvSpPr>
            <xdr:cNvPr id="1440" name="Option Button 416" hidden="1">
              <a:extLst>
                <a:ext uri="{63B3BB69-23CF-44E3-9099-C40C66FF867C}">
                  <a14:compatExt spid="_x0000_s1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33</xdr:row>
          <xdr:rowOff>76200</xdr:rowOff>
        </xdr:from>
        <xdr:to>
          <xdr:col>16</xdr:col>
          <xdr:colOff>476250</xdr:colOff>
          <xdr:row>34</xdr:row>
          <xdr:rowOff>104775</xdr:rowOff>
        </xdr:to>
        <xdr:sp macro="" textlink="">
          <xdr:nvSpPr>
            <xdr:cNvPr id="1441" name="Option Button 417" hidden="1">
              <a:extLst>
                <a:ext uri="{63B3BB69-23CF-44E3-9099-C40C66FF867C}">
                  <a14:compatExt spid="_x0000_s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33</xdr:row>
          <xdr:rowOff>76200</xdr:rowOff>
        </xdr:from>
        <xdr:to>
          <xdr:col>20</xdr:col>
          <xdr:colOff>409575</xdr:colOff>
          <xdr:row>34</xdr:row>
          <xdr:rowOff>104775</xdr:rowOff>
        </xdr:to>
        <xdr:sp macro="" textlink="">
          <xdr:nvSpPr>
            <xdr:cNvPr id="1442" name="Option Button 418" hidden="1">
              <a:extLst>
                <a:ext uri="{63B3BB69-23CF-44E3-9099-C40C66FF867C}">
                  <a14:compatExt spid="_x0000_s1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0</xdr:rowOff>
        </xdr:from>
        <xdr:to>
          <xdr:col>20</xdr:col>
          <xdr:colOff>590550</xdr:colOff>
          <xdr:row>39</xdr:row>
          <xdr:rowOff>38100</xdr:rowOff>
        </xdr:to>
        <xdr:sp macro="" textlink="">
          <xdr:nvSpPr>
            <xdr:cNvPr id="1443" name="Group Box 419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9.Executo minhas atividades e supervisiono as atividades dos funcionários no dia a dia do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37</xdr:row>
          <xdr:rowOff>9525</xdr:rowOff>
        </xdr:from>
        <xdr:to>
          <xdr:col>5</xdr:col>
          <xdr:colOff>66675</xdr:colOff>
          <xdr:row>38</xdr:row>
          <xdr:rowOff>38100</xdr:rowOff>
        </xdr:to>
        <xdr:sp macro="" textlink="">
          <xdr:nvSpPr>
            <xdr:cNvPr id="1444" name="Option Button 420" hidden="1">
              <a:extLst>
                <a:ext uri="{63B3BB69-23CF-44E3-9099-C40C66FF867C}">
                  <a14:compatExt spid="_x0000_s1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37</xdr:row>
          <xdr:rowOff>9525</xdr:rowOff>
        </xdr:from>
        <xdr:to>
          <xdr:col>9</xdr:col>
          <xdr:colOff>0</xdr:colOff>
          <xdr:row>38</xdr:row>
          <xdr:rowOff>38100</xdr:rowOff>
        </xdr:to>
        <xdr:sp macro="" textlink="">
          <xdr:nvSpPr>
            <xdr:cNvPr id="1445" name="Option Button 421" hidden="1">
              <a:extLst>
                <a:ext uri="{63B3BB69-23CF-44E3-9099-C40C66FF867C}">
                  <a14:compatExt spid="_x0000_s1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9525</xdr:rowOff>
        </xdr:from>
        <xdr:to>
          <xdr:col>12</xdr:col>
          <xdr:colOff>542925</xdr:colOff>
          <xdr:row>38</xdr:row>
          <xdr:rowOff>38100</xdr:rowOff>
        </xdr:to>
        <xdr:sp macro="" textlink="">
          <xdr:nvSpPr>
            <xdr:cNvPr id="1446" name="Option Button 422" hidden="1">
              <a:extLst>
                <a:ext uri="{63B3BB69-23CF-44E3-9099-C40C66FF867C}">
                  <a14:compatExt spid="_x0000_s1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37</xdr:row>
          <xdr:rowOff>9525</xdr:rowOff>
        </xdr:from>
        <xdr:to>
          <xdr:col>16</xdr:col>
          <xdr:colOff>476250</xdr:colOff>
          <xdr:row>38</xdr:row>
          <xdr:rowOff>38100</xdr:rowOff>
        </xdr:to>
        <xdr:sp macro="" textlink="">
          <xdr:nvSpPr>
            <xdr:cNvPr id="1447" name="Option Button 423" hidden="1">
              <a:extLst>
                <a:ext uri="{63B3BB69-23CF-44E3-9099-C40C66FF867C}">
                  <a14:compatExt spid="_x0000_s1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37</xdr:row>
          <xdr:rowOff>9525</xdr:rowOff>
        </xdr:from>
        <xdr:to>
          <xdr:col>20</xdr:col>
          <xdr:colOff>409575</xdr:colOff>
          <xdr:row>38</xdr:row>
          <xdr:rowOff>38100</xdr:rowOff>
        </xdr:to>
        <xdr:sp macro="" textlink="">
          <xdr:nvSpPr>
            <xdr:cNvPr id="1448" name="Option Button 424" hidden="1">
              <a:extLst>
                <a:ext uri="{63B3BB69-23CF-44E3-9099-C40C66FF867C}">
                  <a14:compatExt spid="_x0000_s1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123825</xdr:rowOff>
        </xdr:from>
        <xdr:to>
          <xdr:col>20</xdr:col>
          <xdr:colOff>590550</xdr:colOff>
          <xdr:row>42</xdr:row>
          <xdr:rowOff>161925</xdr:rowOff>
        </xdr:to>
        <xdr:sp macro="" textlink="">
          <xdr:nvSpPr>
            <xdr:cNvPr id="1449" name="Group Box 425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10. Adoto, como parâmetro nas negociações, o ditado: "quem não arrisca, não petisca".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40</xdr:row>
          <xdr:rowOff>133350</xdr:rowOff>
        </xdr:from>
        <xdr:to>
          <xdr:col>5</xdr:col>
          <xdr:colOff>66675</xdr:colOff>
          <xdr:row>41</xdr:row>
          <xdr:rowOff>161925</xdr:rowOff>
        </xdr:to>
        <xdr:sp macro="" textlink="">
          <xdr:nvSpPr>
            <xdr:cNvPr id="1450" name="Option Button 426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40</xdr:row>
          <xdr:rowOff>133350</xdr:rowOff>
        </xdr:from>
        <xdr:to>
          <xdr:col>9</xdr:col>
          <xdr:colOff>0</xdr:colOff>
          <xdr:row>41</xdr:row>
          <xdr:rowOff>161925</xdr:rowOff>
        </xdr:to>
        <xdr:sp macro="" textlink="">
          <xdr:nvSpPr>
            <xdr:cNvPr id="1451" name="Option Button 427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133350</xdr:rowOff>
        </xdr:from>
        <xdr:to>
          <xdr:col>12</xdr:col>
          <xdr:colOff>542925</xdr:colOff>
          <xdr:row>41</xdr:row>
          <xdr:rowOff>161925</xdr:rowOff>
        </xdr:to>
        <xdr:sp macro="" textlink="">
          <xdr:nvSpPr>
            <xdr:cNvPr id="1452" name="Option Button 428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40</xdr:row>
          <xdr:rowOff>133350</xdr:rowOff>
        </xdr:from>
        <xdr:to>
          <xdr:col>16</xdr:col>
          <xdr:colOff>476250</xdr:colOff>
          <xdr:row>41</xdr:row>
          <xdr:rowOff>161925</xdr:rowOff>
        </xdr:to>
        <xdr:sp macro="" textlink="">
          <xdr:nvSpPr>
            <xdr:cNvPr id="1453" name="Option Button 429" hidden="1">
              <a:extLst>
                <a:ext uri="{63B3BB69-23CF-44E3-9099-C40C66FF867C}">
                  <a14:compatExt spid="_x0000_s1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40</xdr:row>
          <xdr:rowOff>133350</xdr:rowOff>
        </xdr:from>
        <xdr:to>
          <xdr:col>20</xdr:col>
          <xdr:colOff>409575</xdr:colOff>
          <xdr:row>41</xdr:row>
          <xdr:rowOff>161925</xdr:rowOff>
        </xdr:to>
        <xdr:sp macro="" textlink="">
          <xdr:nvSpPr>
            <xdr:cNvPr id="1454" name="Option Button 430" hidden="1">
              <a:extLst>
                <a:ext uri="{63B3BB69-23CF-44E3-9099-C40C66FF867C}">
                  <a14:compatExt spid="_x0000_s1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57150</xdr:rowOff>
        </xdr:from>
        <xdr:to>
          <xdr:col>20</xdr:col>
          <xdr:colOff>590550</xdr:colOff>
          <xdr:row>46</xdr:row>
          <xdr:rowOff>95250</xdr:rowOff>
        </xdr:to>
        <xdr:sp macro="" textlink="">
          <xdr:nvSpPr>
            <xdr:cNvPr id="1455" name="Group Box 431" hidden="1">
              <a:extLst>
                <a:ext uri="{63B3BB69-23CF-44E3-9099-C40C66FF867C}">
                  <a14:compatExt spid="_x0000_s1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11. Busco toda e qualquer informação disponível no mercado para utilizar no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44</xdr:row>
          <xdr:rowOff>66675</xdr:rowOff>
        </xdr:from>
        <xdr:to>
          <xdr:col>5</xdr:col>
          <xdr:colOff>66675</xdr:colOff>
          <xdr:row>45</xdr:row>
          <xdr:rowOff>95250</xdr:rowOff>
        </xdr:to>
        <xdr:sp macro="" textlink="">
          <xdr:nvSpPr>
            <xdr:cNvPr id="1456" name="Option Button 432" hidden="1">
              <a:extLst>
                <a:ext uri="{63B3BB69-23CF-44E3-9099-C40C66FF867C}">
                  <a14:compatExt spid="_x0000_s1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44</xdr:row>
          <xdr:rowOff>66675</xdr:rowOff>
        </xdr:from>
        <xdr:to>
          <xdr:col>9</xdr:col>
          <xdr:colOff>0</xdr:colOff>
          <xdr:row>45</xdr:row>
          <xdr:rowOff>95250</xdr:rowOff>
        </xdr:to>
        <xdr:sp macro="" textlink="">
          <xdr:nvSpPr>
            <xdr:cNvPr id="1457" name="Option Button 433" hidden="1">
              <a:extLst>
                <a:ext uri="{63B3BB69-23CF-44E3-9099-C40C66FF867C}">
                  <a14:compatExt spid="_x0000_s1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44</xdr:row>
          <xdr:rowOff>66675</xdr:rowOff>
        </xdr:from>
        <xdr:to>
          <xdr:col>12</xdr:col>
          <xdr:colOff>542925</xdr:colOff>
          <xdr:row>45</xdr:row>
          <xdr:rowOff>95250</xdr:rowOff>
        </xdr:to>
        <xdr:sp macro="" textlink="">
          <xdr:nvSpPr>
            <xdr:cNvPr id="1458" name="Option Button 434" hidden="1">
              <a:extLst>
                <a:ext uri="{63B3BB69-23CF-44E3-9099-C40C66FF867C}">
                  <a14:compatExt spid="_x0000_s1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44</xdr:row>
          <xdr:rowOff>66675</xdr:rowOff>
        </xdr:from>
        <xdr:to>
          <xdr:col>16</xdr:col>
          <xdr:colOff>476250</xdr:colOff>
          <xdr:row>45</xdr:row>
          <xdr:rowOff>95250</xdr:rowOff>
        </xdr:to>
        <xdr:sp macro="" textlink="">
          <xdr:nvSpPr>
            <xdr:cNvPr id="1459" name="Option Button 435" hidden="1">
              <a:extLst>
                <a:ext uri="{63B3BB69-23CF-44E3-9099-C40C66FF867C}">
                  <a14:compatExt spid="_x0000_s1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44</xdr:row>
          <xdr:rowOff>66675</xdr:rowOff>
        </xdr:from>
        <xdr:to>
          <xdr:col>20</xdr:col>
          <xdr:colOff>409575</xdr:colOff>
          <xdr:row>45</xdr:row>
          <xdr:rowOff>95250</xdr:rowOff>
        </xdr:to>
        <xdr:sp macro="" textlink="">
          <xdr:nvSpPr>
            <xdr:cNvPr id="1460" name="Option Button 436" hidden="1">
              <a:extLst>
                <a:ext uri="{63B3BB69-23CF-44E3-9099-C40C66FF867C}">
                  <a14:compatExt spid="_x0000_s1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180975</xdr:rowOff>
        </xdr:from>
        <xdr:to>
          <xdr:col>20</xdr:col>
          <xdr:colOff>590550</xdr:colOff>
          <xdr:row>50</xdr:row>
          <xdr:rowOff>28575</xdr:rowOff>
        </xdr:to>
        <xdr:sp macro="" textlink="">
          <xdr:nvSpPr>
            <xdr:cNvPr id="1461" name="Group Box 437" hidden="1">
              <a:extLst>
                <a:ext uri="{63B3BB69-23CF-44E3-9099-C40C66FF867C}">
                  <a14:compatExt spid="_x0000_s1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12. Sei, de forma clara, o que quero alcançar no horizonte de médio e longo prazos e estabeleço parâmetros que permitam pedir e avaliar o meu desempenho.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48</xdr:row>
          <xdr:rowOff>0</xdr:rowOff>
        </xdr:from>
        <xdr:to>
          <xdr:col>5</xdr:col>
          <xdr:colOff>66675</xdr:colOff>
          <xdr:row>49</xdr:row>
          <xdr:rowOff>28575</xdr:rowOff>
        </xdr:to>
        <xdr:sp macro="" textlink="">
          <xdr:nvSpPr>
            <xdr:cNvPr id="1462" name="Option Button 438" hidden="1">
              <a:extLst>
                <a:ext uri="{63B3BB69-23CF-44E3-9099-C40C66FF867C}">
                  <a14:compatExt spid="_x0000_s1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48</xdr:row>
          <xdr:rowOff>0</xdr:rowOff>
        </xdr:from>
        <xdr:to>
          <xdr:col>9</xdr:col>
          <xdr:colOff>0</xdr:colOff>
          <xdr:row>49</xdr:row>
          <xdr:rowOff>28575</xdr:rowOff>
        </xdr:to>
        <xdr:sp macro="" textlink="">
          <xdr:nvSpPr>
            <xdr:cNvPr id="1463" name="Option Button 439" hidden="1">
              <a:extLst>
                <a:ext uri="{63B3BB69-23CF-44E3-9099-C40C66FF867C}">
                  <a14:compatExt spid="_x0000_s1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48</xdr:row>
          <xdr:rowOff>0</xdr:rowOff>
        </xdr:from>
        <xdr:to>
          <xdr:col>12</xdr:col>
          <xdr:colOff>542925</xdr:colOff>
          <xdr:row>49</xdr:row>
          <xdr:rowOff>28575</xdr:rowOff>
        </xdr:to>
        <xdr:sp macro="" textlink="">
          <xdr:nvSpPr>
            <xdr:cNvPr id="1464" name="Option Button 440" hidden="1">
              <a:extLst>
                <a:ext uri="{63B3BB69-23CF-44E3-9099-C40C66FF867C}">
                  <a14:compatExt spid="_x0000_s1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48</xdr:row>
          <xdr:rowOff>0</xdr:rowOff>
        </xdr:from>
        <xdr:to>
          <xdr:col>16</xdr:col>
          <xdr:colOff>476250</xdr:colOff>
          <xdr:row>49</xdr:row>
          <xdr:rowOff>28575</xdr:rowOff>
        </xdr:to>
        <xdr:sp macro="" textlink="">
          <xdr:nvSpPr>
            <xdr:cNvPr id="1465" name="Option Button 441" hidden="1">
              <a:extLst>
                <a:ext uri="{63B3BB69-23CF-44E3-9099-C40C66FF867C}">
                  <a14:compatExt spid="_x0000_s1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48</xdr:row>
          <xdr:rowOff>0</xdr:rowOff>
        </xdr:from>
        <xdr:to>
          <xdr:col>20</xdr:col>
          <xdr:colOff>409575</xdr:colOff>
          <xdr:row>49</xdr:row>
          <xdr:rowOff>28575</xdr:rowOff>
        </xdr:to>
        <xdr:sp macro="" textlink="">
          <xdr:nvSpPr>
            <xdr:cNvPr id="1466" name="Option Button 442" hidden="1">
              <a:extLst>
                <a:ext uri="{63B3BB69-23CF-44E3-9099-C40C66FF867C}">
                  <a14:compatExt spid="_x0000_s1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114300</xdr:rowOff>
        </xdr:from>
        <xdr:to>
          <xdr:col>20</xdr:col>
          <xdr:colOff>590550</xdr:colOff>
          <xdr:row>53</xdr:row>
          <xdr:rowOff>152400</xdr:rowOff>
        </xdr:to>
        <xdr:sp macro="" textlink="">
          <xdr:nvSpPr>
            <xdr:cNvPr id="1467" name="Group Box 443" hidden="1">
              <a:extLst>
                <a:ext uri="{63B3BB69-23CF-44E3-9099-C40C66FF867C}">
                  <a14:compatExt spid="_x0000_s1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13. Faço as coisas preocupando-me com meus clientes, pois eles sempre têm razão e estão acima de qualquer coisa.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51</xdr:row>
          <xdr:rowOff>123825</xdr:rowOff>
        </xdr:from>
        <xdr:to>
          <xdr:col>5</xdr:col>
          <xdr:colOff>66675</xdr:colOff>
          <xdr:row>52</xdr:row>
          <xdr:rowOff>152400</xdr:rowOff>
        </xdr:to>
        <xdr:sp macro="" textlink="">
          <xdr:nvSpPr>
            <xdr:cNvPr id="1468" name="Option Button 444" hidden="1">
              <a:extLst>
                <a:ext uri="{63B3BB69-23CF-44E3-9099-C40C66FF867C}">
                  <a14:compatExt spid="_x0000_s1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51</xdr:row>
          <xdr:rowOff>123825</xdr:rowOff>
        </xdr:from>
        <xdr:to>
          <xdr:col>9</xdr:col>
          <xdr:colOff>0</xdr:colOff>
          <xdr:row>52</xdr:row>
          <xdr:rowOff>152400</xdr:rowOff>
        </xdr:to>
        <xdr:sp macro="" textlink="">
          <xdr:nvSpPr>
            <xdr:cNvPr id="1469" name="Option Button 445" hidden="1">
              <a:extLst>
                <a:ext uri="{63B3BB69-23CF-44E3-9099-C40C66FF867C}">
                  <a14:compatExt spid="_x0000_s1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51</xdr:row>
          <xdr:rowOff>123825</xdr:rowOff>
        </xdr:from>
        <xdr:to>
          <xdr:col>12</xdr:col>
          <xdr:colOff>542925</xdr:colOff>
          <xdr:row>52</xdr:row>
          <xdr:rowOff>152400</xdr:rowOff>
        </xdr:to>
        <xdr:sp macro="" textlink="">
          <xdr:nvSpPr>
            <xdr:cNvPr id="1470" name="Option Button 446" hidden="1">
              <a:extLst>
                <a:ext uri="{63B3BB69-23CF-44E3-9099-C40C66FF867C}">
                  <a14:compatExt spid="_x0000_s1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51</xdr:row>
          <xdr:rowOff>123825</xdr:rowOff>
        </xdr:from>
        <xdr:to>
          <xdr:col>16</xdr:col>
          <xdr:colOff>476250</xdr:colOff>
          <xdr:row>52</xdr:row>
          <xdr:rowOff>152400</xdr:rowOff>
        </xdr:to>
        <xdr:sp macro="" textlink="">
          <xdr:nvSpPr>
            <xdr:cNvPr id="1471" name="Option Button 447" hidden="1">
              <a:extLst>
                <a:ext uri="{63B3BB69-23CF-44E3-9099-C40C66FF867C}">
                  <a14:compatExt spid="_x0000_s1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51</xdr:row>
          <xdr:rowOff>123825</xdr:rowOff>
        </xdr:from>
        <xdr:to>
          <xdr:col>20</xdr:col>
          <xdr:colOff>409575</xdr:colOff>
          <xdr:row>52</xdr:row>
          <xdr:rowOff>152400</xdr:rowOff>
        </xdr:to>
        <xdr:sp macro="" textlink="">
          <xdr:nvSpPr>
            <xdr:cNvPr id="1472" name="Option Button 448" hidden="1">
              <a:extLst>
                <a:ext uri="{63B3BB69-23CF-44E3-9099-C40C66FF867C}">
                  <a14:compatExt spid="_x0000_s1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47625</xdr:rowOff>
        </xdr:from>
        <xdr:to>
          <xdr:col>20</xdr:col>
          <xdr:colOff>590550</xdr:colOff>
          <xdr:row>57</xdr:row>
          <xdr:rowOff>85725</xdr:rowOff>
        </xdr:to>
        <xdr:sp macro="" textlink="">
          <xdr:nvSpPr>
            <xdr:cNvPr id="1473" name="Group Box 449" hidden="1">
              <a:extLst>
                <a:ext uri="{63B3BB69-23CF-44E3-9099-C40C66FF867C}">
                  <a14:compatExt spid="_x0000_s1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14. Não é comum definir, a cada dia, o percentual de lucro que quero obter com 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55</xdr:row>
          <xdr:rowOff>57150</xdr:rowOff>
        </xdr:from>
        <xdr:to>
          <xdr:col>5</xdr:col>
          <xdr:colOff>66675</xdr:colOff>
          <xdr:row>56</xdr:row>
          <xdr:rowOff>85725</xdr:rowOff>
        </xdr:to>
        <xdr:sp macro="" textlink="">
          <xdr:nvSpPr>
            <xdr:cNvPr id="1474" name="Option Button 450" hidden="1">
              <a:extLst>
                <a:ext uri="{63B3BB69-23CF-44E3-9099-C40C66FF867C}">
                  <a14:compatExt spid="_x0000_s1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55</xdr:row>
          <xdr:rowOff>57150</xdr:rowOff>
        </xdr:from>
        <xdr:to>
          <xdr:col>9</xdr:col>
          <xdr:colOff>0</xdr:colOff>
          <xdr:row>56</xdr:row>
          <xdr:rowOff>85725</xdr:rowOff>
        </xdr:to>
        <xdr:sp macro="" textlink="">
          <xdr:nvSpPr>
            <xdr:cNvPr id="1475" name="Option Button 451" hidden="1">
              <a:extLst>
                <a:ext uri="{63B3BB69-23CF-44E3-9099-C40C66FF867C}">
                  <a14:compatExt spid="_x0000_s1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55</xdr:row>
          <xdr:rowOff>57150</xdr:rowOff>
        </xdr:from>
        <xdr:to>
          <xdr:col>12</xdr:col>
          <xdr:colOff>542925</xdr:colOff>
          <xdr:row>56</xdr:row>
          <xdr:rowOff>85725</xdr:rowOff>
        </xdr:to>
        <xdr:sp macro="" textlink="">
          <xdr:nvSpPr>
            <xdr:cNvPr id="1476" name="Option Button 452" hidden="1">
              <a:extLst>
                <a:ext uri="{63B3BB69-23CF-44E3-9099-C40C66FF867C}">
                  <a14:compatExt spid="_x0000_s1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55</xdr:row>
          <xdr:rowOff>57150</xdr:rowOff>
        </xdr:from>
        <xdr:to>
          <xdr:col>16</xdr:col>
          <xdr:colOff>476250</xdr:colOff>
          <xdr:row>56</xdr:row>
          <xdr:rowOff>85725</xdr:rowOff>
        </xdr:to>
        <xdr:sp macro="" textlink="">
          <xdr:nvSpPr>
            <xdr:cNvPr id="1477" name="Option Button 453" hidden="1">
              <a:extLst>
                <a:ext uri="{63B3BB69-23CF-44E3-9099-C40C66FF867C}">
                  <a14:compatExt spid="_x0000_s1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55</xdr:row>
          <xdr:rowOff>57150</xdr:rowOff>
        </xdr:from>
        <xdr:to>
          <xdr:col>20</xdr:col>
          <xdr:colOff>409575</xdr:colOff>
          <xdr:row>56</xdr:row>
          <xdr:rowOff>85725</xdr:rowOff>
        </xdr:to>
        <xdr:sp macro="" textlink="">
          <xdr:nvSpPr>
            <xdr:cNvPr id="1478" name="Option Button 454" hidden="1">
              <a:extLst>
                <a:ext uri="{63B3BB69-23CF-44E3-9099-C40C66FF867C}">
                  <a14:compatExt spid="_x0000_s1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171450</xdr:rowOff>
        </xdr:from>
        <xdr:to>
          <xdr:col>20</xdr:col>
          <xdr:colOff>590550</xdr:colOff>
          <xdr:row>61</xdr:row>
          <xdr:rowOff>19050</xdr:rowOff>
        </xdr:to>
        <xdr:sp macro="" textlink="">
          <xdr:nvSpPr>
            <xdr:cNvPr id="1479" name="Group Box 455" hidden="1">
              <a:extLst>
                <a:ext uri="{63B3BB69-23CF-44E3-9099-C40C66FF867C}">
                  <a14:compatExt spid="_x0000_s1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15. Quando tenho um projeto de grande porte, divido-o em tarefas mais simples, com prazos estabelecidos antecipadamente.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58</xdr:row>
          <xdr:rowOff>180975</xdr:rowOff>
        </xdr:from>
        <xdr:to>
          <xdr:col>5</xdr:col>
          <xdr:colOff>66675</xdr:colOff>
          <xdr:row>60</xdr:row>
          <xdr:rowOff>19050</xdr:rowOff>
        </xdr:to>
        <xdr:sp macro="" textlink="">
          <xdr:nvSpPr>
            <xdr:cNvPr id="1480" name="Option Button 456" hidden="1">
              <a:extLst>
                <a:ext uri="{63B3BB69-23CF-44E3-9099-C40C66FF867C}">
                  <a14:compatExt spid="_x0000_s1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58</xdr:row>
          <xdr:rowOff>180975</xdr:rowOff>
        </xdr:from>
        <xdr:to>
          <xdr:col>9</xdr:col>
          <xdr:colOff>0</xdr:colOff>
          <xdr:row>60</xdr:row>
          <xdr:rowOff>19050</xdr:rowOff>
        </xdr:to>
        <xdr:sp macro="" textlink="">
          <xdr:nvSpPr>
            <xdr:cNvPr id="1481" name="Option Button 457" hidden="1">
              <a:extLst>
                <a:ext uri="{63B3BB69-23CF-44E3-9099-C40C66FF867C}">
                  <a14:compatExt spid="_x0000_s1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58</xdr:row>
          <xdr:rowOff>180975</xdr:rowOff>
        </xdr:from>
        <xdr:to>
          <xdr:col>12</xdr:col>
          <xdr:colOff>542925</xdr:colOff>
          <xdr:row>60</xdr:row>
          <xdr:rowOff>19050</xdr:rowOff>
        </xdr:to>
        <xdr:sp macro="" textlink="">
          <xdr:nvSpPr>
            <xdr:cNvPr id="1482" name="Option Button 458" hidden="1">
              <a:extLst>
                <a:ext uri="{63B3BB69-23CF-44E3-9099-C40C66FF867C}">
                  <a14:compatExt spid="_x0000_s1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58</xdr:row>
          <xdr:rowOff>180975</xdr:rowOff>
        </xdr:from>
        <xdr:to>
          <xdr:col>16</xdr:col>
          <xdr:colOff>476250</xdr:colOff>
          <xdr:row>60</xdr:row>
          <xdr:rowOff>19050</xdr:rowOff>
        </xdr:to>
        <xdr:sp macro="" textlink="">
          <xdr:nvSpPr>
            <xdr:cNvPr id="1483" name="Option Button 459" hidden="1">
              <a:extLst>
                <a:ext uri="{63B3BB69-23CF-44E3-9099-C40C66FF867C}">
                  <a14:compatExt spid="_x0000_s1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58</xdr:row>
          <xdr:rowOff>180975</xdr:rowOff>
        </xdr:from>
        <xdr:to>
          <xdr:col>20</xdr:col>
          <xdr:colOff>409575</xdr:colOff>
          <xdr:row>60</xdr:row>
          <xdr:rowOff>19050</xdr:rowOff>
        </xdr:to>
        <xdr:sp macro="" textlink="">
          <xdr:nvSpPr>
            <xdr:cNvPr id="1484" name="Option Button 460" hidden="1">
              <a:extLst>
                <a:ext uri="{63B3BB69-23CF-44E3-9099-C40C66FF867C}">
                  <a14:compatExt spid="_x0000_s1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104775</xdr:rowOff>
        </xdr:from>
        <xdr:to>
          <xdr:col>20</xdr:col>
          <xdr:colOff>590550</xdr:colOff>
          <xdr:row>64</xdr:row>
          <xdr:rowOff>142875</xdr:rowOff>
        </xdr:to>
        <xdr:sp macro="" textlink="">
          <xdr:nvSpPr>
            <xdr:cNvPr id="1485" name="Group Box 461" hidden="1">
              <a:extLst>
                <a:ext uri="{63B3BB69-23CF-44E3-9099-C40C66FF867C}">
                  <a14:compatExt spid="_x0000_s1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16. Mesmo que eu já esteja obtendo bons resultados no empreendimento, encontro formas de melhorar o que faço (agilidade, custos, qualidade).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62</xdr:row>
          <xdr:rowOff>114300</xdr:rowOff>
        </xdr:from>
        <xdr:to>
          <xdr:col>5</xdr:col>
          <xdr:colOff>66675</xdr:colOff>
          <xdr:row>63</xdr:row>
          <xdr:rowOff>142875</xdr:rowOff>
        </xdr:to>
        <xdr:sp macro="" textlink="">
          <xdr:nvSpPr>
            <xdr:cNvPr id="1486" name="Option Button 462" hidden="1">
              <a:extLst>
                <a:ext uri="{63B3BB69-23CF-44E3-9099-C40C66FF867C}">
                  <a14:compatExt spid="_x0000_s1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62</xdr:row>
          <xdr:rowOff>114300</xdr:rowOff>
        </xdr:from>
        <xdr:to>
          <xdr:col>9</xdr:col>
          <xdr:colOff>0</xdr:colOff>
          <xdr:row>63</xdr:row>
          <xdr:rowOff>142875</xdr:rowOff>
        </xdr:to>
        <xdr:sp macro="" textlink="">
          <xdr:nvSpPr>
            <xdr:cNvPr id="1487" name="Option Button 463" hidden="1">
              <a:extLst>
                <a:ext uri="{63B3BB69-23CF-44E3-9099-C40C66FF867C}">
                  <a14:compatExt spid="_x0000_s1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62</xdr:row>
          <xdr:rowOff>114300</xdr:rowOff>
        </xdr:from>
        <xdr:to>
          <xdr:col>12</xdr:col>
          <xdr:colOff>542925</xdr:colOff>
          <xdr:row>63</xdr:row>
          <xdr:rowOff>142875</xdr:rowOff>
        </xdr:to>
        <xdr:sp macro="" textlink="">
          <xdr:nvSpPr>
            <xdr:cNvPr id="1488" name="Option Button 464" hidden="1">
              <a:extLst>
                <a:ext uri="{63B3BB69-23CF-44E3-9099-C40C66FF867C}">
                  <a14:compatExt spid="_x0000_s1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62</xdr:row>
          <xdr:rowOff>114300</xdr:rowOff>
        </xdr:from>
        <xdr:to>
          <xdr:col>16</xdr:col>
          <xdr:colOff>476250</xdr:colOff>
          <xdr:row>63</xdr:row>
          <xdr:rowOff>142875</xdr:rowOff>
        </xdr:to>
        <xdr:sp macro="" textlink="">
          <xdr:nvSpPr>
            <xdr:cNvPr id="1489" name="Option Button 465" hidden="1">
              <a:extLst>
                <a:ext uri="{63B3BB69-23CF-44E3-9099-C40C66FF867C}">
                  <a14:compatExt spid="_x0000_s1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62</xdr:row>
          <xdr:rowOff>114300</xdr:rowOff>
        </xdr:from>
        <xdr:to>
          <xdr:col>20</xdr:col>
          <xdr:colOff>409575</xdr:colOff>
          <xdr:row>63</xdr:row>
          <xdr:rowOff>142875</xdr:rowOff>
        </xdr:to>
        <xdr:sp macro="" textlink="">
          <xdr:nvSpPr>
            <xdr:cNvPr id="1490" name="Option Button 466" hidden="1">
              <a:extLst>
                <a:ext uri="{63B3BB69-23CF-44E3-9099-C40C66FF867C}">
                  <a14:compatExt spid="_x0000_s1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38100</xdr:rowOff>
        </xdr:from>
        <xdr:to>
          <xdr:col>20</xdr:col>
          <xdr:colOff>590550</xdr:colOff>
          <xdr:row>68</xdr:row>
          <xdr:rowOff>76200</xdr:rowOff>
        </xdr:to>
        <xdr:sp macro="" textlink="">
          <xdr:nvSpPr>
            <xdr:cNvPr id="1491" name="Group Box 467" hidden="1">
              <a:extLst>
                <a:ext uri="{63B3BB69-23CF-44E3-9099-C40C66FF867C}">
                  <a14:compatExt spid="_x0000_s1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17. Confio em minha capacidade de tomar decisões e solucionar problemas desafiantes que encontro na rotina do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66</xdr:row>
          <xdr:rowOff>47625</xdr:rowOff>
        </xdr:from>
        <xdr:to>
          <xdr:col>5</xdr:col>
          <xdr:colOff>66675</xdr:colOff>
          <xdr:row>67</xdr:row>
          <xdr:rowOff>76200</xdr:rowOff>
        </xdr:to>
        <xdr:sp macro="" textlink="">
          <xdr:nvSpPr>
            <xdr:cNvPr id="1492" name="Option Button 468" hidden="1">
              <a:extLst>
                <a:ext uri="{63B3BB69-23CF-44E3-9099-C40C66FF867C}">
                  <a14:compatExt spid="_x0000_s1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66</xdr:row>
          <xdr:rowOff>47625</xdr:rowOff>
        </xdr:from>
        <xdr:to>
          <xdr:col>9</xdr:col>
          <xdr:colOff>0</xdr:colOff>
          <xdr:row>67</xdr:row>
          <xdr:rowOff>76200</xdr:rowOff>
        </xdr:to>
        <xdr:sp macro="" textlink="">
          <xdr:nvSpPr>
            <xdr:cNvPr id="1493" name="Option Button 469" hidden="1">
              <a:extLst>
                <a:ext uri="{63B3BB69-23CF-44E3-9099-C40C66FF867C}">
                  <a14:compatExt spid="_x0000_s1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66</xdr:row>
          <xdr:rowOff>47625</xdr:rowOff>
        </xdr:from>
        <xdr:to>
          <xdr:col>12</xdr:col>
          <xdr:colOff>542925</xdr:colOff>
          <xdr:row>67</xdr:row>
          <xdr:rowOff>76200</xdr:rowOff>
        </xdr:to>
        <xdr:sp macro="" textlink="">
          <xdr:nvSpPr>
            <xdr:cNvPr id="1494" name="Option Button 470" hidden="1">
              <a:extLst>
                <a:ext uri="{63B3BB69-23CF-44E3-9099-C40C66FF867C}">
                  <a14:compatExt spid="_x0000_s1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66</xdr:row>
          <xdr:rowOff>47625</xdr:rowOff>
        </xdr:from>
        <xdr:to>
          <xdr:col>16</xdr:col>
          <xdr:colOff>476250</xdr:colOff>
          <xdr:row>67</xdr:row>
          <xdr:rowOff>76200</xdr:rowOff>
        </xdr:to>
        <xdr:sp macro="" textlink="">
          <xdr:nvSpPr>
            <xdr:cNvPr id="1495" name="Option Button 471" hidden="1">
              <a:extLst>
                <a:ext uri="{63B3BB69-23CF-44E3-9099-C40C66FF867C}">
                  <a14:compatExt spid="_x0000_s1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66</xdr:row>
          <xdr:rowOff>47625</xdr:rowOff>
        </xdr:from>
        <xdr:to>
          <xdr:col>20</xdr:col>
          <xdr:colOff>409575</xdr:colOff>
          <xdr:row>67</xdr:row>
          <xdr:rowOff>76200</xdr:rowOff>
        </xdr:to>
        <xdr:sp macro="" textlink="">
          <xdr:nvSpPr>
            <xdr:cNvPr id="1496" name="Option Button 472" hidden="1">
              <a:extLst>
                <a:ext uri="{63B3BB69-23CF-44E3-9099-C40C66FF867C}">
                  <a14:compatExt spid="_x0000_s1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161925</xdr:rowOff>
        </xdr:from>
        <xdr:to>
          <xdr:col>20</xdr:col>
          <xdr:colOff>590550</xdr:colOff>
          <xdr:row>72</xdr:row>
          <xdr:rowOff>9525</xdr:rowOff>
        </xdr:to>
        <xdr:sp macro="" textlink="">
          <xdr:nvSpPr>
            <xdr:cNvPr id="1497" name="Group Box 473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18. Na execução das atividades, minha intuição e criatividade não costumam ser suficientes para decidir o que fazer.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69</xdr:row>
          <xdr:rowOff>171450</xdr:rowOff>
        </xdr:from>
        <xdr:to>
          <xdr:col>5</xdr:col>
          <xdr:colOff>66675</xdr:colOff>
          <xdr:row>71</xdr:row>
          <xdr:rowOff>9525</xdr:rowOff>
        </xdr:to>
        <xdr:sp macro="" textlink="">
          <xdr:nvSpPr>
            <xdr:cNvPr id="1498" name="Option Button 474" hidden="1">
              <a:extLst>
                <a:ext uri="{63B3BB69-23CF-44E3-9099-C40C66FF867C}">
                  <a14:compatExt spid="_x0000_s1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69</xdr:row>
          <xdr:rowOff>171450</xdr:rowOff>
        </xdr:from>
        <xdr:to>
          <xdr:col>9</xdr:col>
          <xdr:colOff>0</xdr:colOff>
          <xdr:row>71</xdr:row>
          <xdr:rowOff>9525</xdr:rowOff>
        </xdr:to>
        <xdr:sp macro="" textlink="">
          <xdr:nvSpPr>
            <xdr:cNvPr id="1499" name="Option Button 475" hidden="1">
              <a:extLst>
                <a:ext uri="{63B3BB69-23CF-44E3-9099-C40C66FF867C}">
                  <a14:compatExt spid="_x0000_s1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69</xdr:row>
          <xdr:rowOff>171450</xdr:rowOff>
        </xdr:from>
        <xdr:to>
          <xdr:col>12</xdr:col>
          <xdr:colOff>542925</xdr:colOff>
          <xdr:row>71</xdr:row>
          <xdr:rowOff>9525</xdr:rowOff>
        </xdr:to>
        <xdr:sp macro="" textlink="">
          <xdr:nvSpPr>
            <xdr:cNvPr id="1500" name="Option Button 476" hidden="1">
              <a:extLst>
                <a:ext uri="{63B3BB69-23CF-44E3-9099-C40C66FF867C}">
                  <a14:compatExt spid="_x0000_s1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69</xdr:row>
          <xdr:rowOff>171450</xdr:rowOff>
        </xdr:from>
        <xdr:to>
          <xdr:col>16</xdr:col>
          <xdr:colOff>476250</xdr:colOff>
          <xdr:row>71</xdr:row>
          <xdr:rowOff>9525</xdr:rowOff>
        </xdr:to>
        <xdr:sp macro="" textlink="">
          <xdr:nvSpPr>
            <xdr:cNvPr id="1501" name="Option Button 477" hidden="1">
              <a:extLst>
                <a:ext uri="{63B3BB69-23CF-44E3-9099-C40C66FF867C}">
                  <a14:compatExt spid="_x0000_s1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69</xdr:row>
          <xdr:rowOff>171450</xdr:rowOff>
        </xdr:from>
        <xdr:to>
          <xdr:col>20</xdr:col>
          <xdr:colOff>409575</xdr:colOff>
          <xdr:row>71</xdr:row>
          <xdr:rowOff>9525</xdr:rowOff>
        </xdr:to>
        <xdr:sp macro="" textlink="">
          <xdr:nvSpPr>
            <xdr:cNvPr id="1502" name="Option Button 478" hidden="1">
              <a:extLst>
                <a:ext uri="{63B3BB69-23CF-44E3-9099-C40C66FF867C}">
                  <a14:compatExt spid="_x0000_s1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72</xdr:row>
          <xdr:rowOff>95250</xdr:rowOff>
        </xdr:from>
        <xdr:to>
          <xdr:col>20</xdr:col>
          <xdr:colOff>590550</xdr:colOff>
          <xdr:row>75</xdr:row>
          <xdr:rowOff>133350</xdr:rowOff>
        </xdr:to>
        <xdr:sp macro="" textlink="">
          <xdr:nvSpPr>
            <xdr:cNvPr id="1503" name="Group Box 479" hidden="1">
              <a:extLst>
                <a:ext uri="{63B3BB69-23CF-44E3-9099-C40C66FF867C}">
                  <a14:compatExt spid="_x0000_s1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19. Identifico pessoas influentes e solicito apoio delas para alcançar minhas metas, pois somente assim consigo obter resultados positivos.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73</xdr:row>
          <xdr:rowOff>104775</xdr:rowOff>
        </xdr:from>
        <xdr:to>
          <xdr:col>5</xdr:col>
          <xdr:colOff>66675</xdr:colOff>
          <xdr:row>74</xdr:row>
          <xdr:rowOff>133350</xdr:rowOff>
        </xdr:to>
        <xdr:sp macro="" textlink="">
          <xdr:nvSpPr>
            <xdr:cNvPr id="1504" name="Option Button 480" hidden="1">
              <a:extLst>
                <a:ext uri="{63B3BB69-23CF-44E3-9099-C40C66FF867C}">
                  <a14:compatExt spid="_x0000_s1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73</xdr:row>
          <xdr:rowOff>104775</xdr:rowOff>
        </xdr:from>
        <xdr:to>
          <xdr:col>9</xdr:col>
          <xdr:colOff>0</xdr:colOff>
          <xdr:row>74</xdr:row>
          <xdr:rowOff>133350</xdr:rowOff>
        </xdr:to>
        <xdr:sp macro="" textlink="">
          <xdr:nvSpPr>
            <xdr:cNvPr id="1505" name="Option Button 481" hidden="1">
              <a:extLst>
                <a:ext uri="{63B3BB69-23CF-44E3-9099-C40C66FF867C}">
                  <a14:compatExt spid="_x0000_s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73</xdr:row>
          <xdr:rowOff>104775</xdr:rowOff>
        </xdr:from>
        <xdr:to>
          <xdr:col>12</xdr:col>
          <xdr:colOff>542925</xdr:colOff>
          <xdr:row>74</xdr:row>
          <xdr:rowOff>133350</xdr:rowOff>
        </xdr:to>
        <xdr:sp macro="" textlink="">
          <xdr:nvSpPr>
            <xdr:cNvPr id="1506" name="Option Button 482" hidden="1">
              <a:extLst>
                <a:ext uri="{63B3BB69-23CF-44E3-9099-C40C66FF867C}">
                  <a14:compatExt spid="_x0000_s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73</xdr:row>
          <xdr:rowOff>104775</xdr:rowOff>
        </xdr:from>
        <xdr:to>
          <xdr:col>16</xdr:col>
          <xdr:colOff>476250</xdr:colOff>
          <xdr:row>74</xdr:row>
          <xdr:rowOff>133350</xdr:rowOff>
        </xdr:to>
        <xdr:sp macro="" textlink="">
          <xdr:nvSpPr>
            <xdr:cNvPr id="1507" name="Option Button 483" hidden="1">
              <a:extLst>
                <a:ext uri="{63B3BB69-23CF-44E3-9099-C40C66FF867C}">
                  <a14:compatExt spid="_x0000_s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73</xdr:row>
          <xdr:rowOff>104775</xdr:rowOff>
        </xdr:from>
        <xdr:to>
          <xdr:col>20</xdr:col>
          <xdr:colOff>409575</xdr:colOff>
          <xdr:row>74</xdr:row>
          <xdr:rowOff>133350</xdr:rowOff>
        </xdr:to>
        <xdr:sp macro="" textlink="">
          <xdr:nvSpPr>
            <xdr:cNvPr id="1508" name="Option Button 484" hidden="1">
              <a:extLst>
                <a:ext uri="{63B3BB69-23CF-44E3-9099-C40C66FF867C}">
                  <a14:compatExt spid="_x0000_s1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76</xdr:row>
          <xdr:rowOff>28575</xdr:rowOff>
        </xdr:from>
        <xdr:to>
          <xdr:col>20</xdr:col>
          <xdr:colOff>590550</xdr:colOff>
          <xdr:row>79</xdr:row>
          <xdr:rowOff>66675</xdr:rowOff>
        </xdr:to>
        <xdr:sp macro="" textlink="">
          <xdr:nvSpPr>
            <xdr:cNvPr id="1509" name="Group Box 485" hidden="1">
              <a:extLst>
                <a:ext uri="{63B3BB69-23CF-44E3-9099-C40C66FF867C}">
                  <a14:compatExt spid="_x0000_s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20. Sendo necessário, possível e viável, costumo insistir para conseguir o que pretendo.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77</xdr:row>
          <xdr:rowOff>38100</xdr:rowOff>
        </xdr:from>
        <xdr:to>
          <xdr:col>5</xdr:col>
          <xdr:colOff>66675</xdr:colOff>
          <xdr:row>78</xdr:row>
          <xdr:rowOff>66675</xdr:rowOff>
        </xdr:to>
        <xdr:sp macro="" textlink="">
          <xdr:nvSpPr>
            <xdr:cNvPr id="1510" name="Option Button 486" hidden="1">
              <a:extLst>
                <a:ext uri="{63B3BB69-23CF-44E3-9099-C40C66FF867C}">
                  <a14:compatExt spid="_x0000_s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77</xdr:row>
          <xdr:rowOff>38100</xdr:rowOff>
        </xdr:from>
        <xdr:to>
          <xdr:col>9</xdr:col>
          <xdr:colOff>0</xdr:colOff>
          <xdr:row>78</xdr:row>
          <xdr:rowOff>66675</xdr:rowOff>
        </xdr:to>
        <xdr:sp macro="" textlink="">
          <xdr:nvSpPr>
            <xdr:cNvPr id="1511" name="Option Button 487" hidden="1">
              <a:extLst>
                <a:ext uri="{63B3BB69-23CF-44E3-9099-C40C66FF867C}">
                  <a14:compatExt spid="_x0000_s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77</xdr:row>
          <xdr:rowOff>38100</xdr:rowOff>
        </xdr:from>
        <xdr:to>
          <xdr:col>12</xdr:col>
          <xdr:colOff>542925</xdr:colOff>
          <xdr:row>78</xdr:row>
          <xdr:rowOff>66675</xdr:rowOff>
        </xdr:to>
        <xdr:sp macro="" textlink="">
          <xdr:nvSpPr>
            <xdr:cNvPr id="1512" name="Option Button 488" hidden="1">
              <a:extLst>
                <a:ext uri="{63B3BB69-23CF-44E3-9099-C40C66FF867C}">
                  <a14:compatExt spid="_x0000_s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77</xdr:row>
          <xdr:rowOff>38100</xdr:rowOff>
        </xdr:from>
        <xdr:to>
          <xdr:col>16</xdr:col>
          <xdr:colOff>476250</xdr:colOff>
          <xdr:row>78</xdr:row>
          <xdr:rowOff>66675</xdr:rowOff>
        </xdr:to>
        <xdr:sp macro="" textlink="">
          <xdr:nvSpPr>
            <xdr:cNvPr id="1513" name="Option Button 489" hidden="1">
              <a:extLst>
                <a:ext uri="{63B3BB69-23CF-44E3-9099-C40C66FF867C}">
                  <a14:compatExt spid="_x0000_s1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77</xdr:row>
          <xdr:rowOff>38100</xdr:rowOff>
        </xdr:from>
        <xdr:to>
          <xdr:col>20</xdr:col>
          <xdr:colOff>409575</xdr:colOff>
          <xdr:row>78</xdr:row>
          <xdr:rowOff>66675</xdr:rowOff>
        </xdr:to>
        <xdr:sp macro="" textlink="">
          <xdr:nvSpPr>
            <xdr:cNvPr id="1514" name="Option Button 490" hidden="1">
              <a:extLst>
                <a:ext uri="{63B3BB69-23CF-44E3-9099-C40C66FF867C}">
                  <a14:compatExt spid="_x0000_s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79</xdr:row>
          <xdr:rowOff>152400</xdr:rowOff>
        </xdr:from>
        <xdr:to>
          <xdr:col>20</xdr:col>
          <xdr:colOff>590550</xdr:colOff>
          <xdr:row>83</xdr:row>
          <xdr:rowOff>0</xdr:rowOff>
        </xdr:to>
        <xdr:sp macro="" textlink="">
          <xdr:nvSpPr>
            <xdr:cNvPr id="1515" name="Group Box 491" hidden="1">
              <a:extLst>
                <a:ext uri="{63B3BB69-23CF-44E3-9099-C40C66FF867C}">
                  <a14:compatExt spid="_x0000_s1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21. Quando necessário, possível e viável, aproveito as oportunidades que surgem no mercado, pois elas trazem retorno financeiro.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80</xdr:row>
          <xdr:rowOff>161925</xdr:rowOff>
        </xdr:from>
        <xdr:to>
          <xdr:col>5</xdr:col>
          <xdr:colOff>66675</xdr:colOff>
          <xdr:row>82</xdr:row>
          <xdr:rowOff>0</xdr:rowOff>
        </xdr:to>
        <xdr:sp macro="" textlink="">
          <xdr:nvSpPr>
            <xdr:cNvPr id="1516" name="Option Button 492" hidden="1">
              <a:extLst>
                <a:ext uri="{63B3BB69-23CF-44E3-9099-C40C66FF867C}">
                  <a14:compatExt spid="_x0000_s1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80</xdr:row>
          <xdr:rowOff>161925</xdr:rowOff>
        </xdr:from>
        <xdr:to>
          <xdr:col>9</xdr:col>
          <xdr:colOff>0</xdr:colOff>
          <xdr:row>82</xdr:row>
          <xdr:rowOff>0</xdr:rowOff>
        </xdr:to>
        <xdr:sp macro="" textlink="">
          <xdr:nvSpPr>
            <xdr:cNvPr id="1517" name="Option Button 493" hidden="1">
              <a:extLst>
                <a:ext uri="{63B3BB69-23CF-44E3-9099-C40C66FF867C}">
                  <a14:compatExt spid="_x0000_s1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80</xdr:row>
          <xdr:rowOff>161925</xdr:rowOff>
        </xdr:from>
        <xdr:to>
          <xdr:col>12</xdr:col>
          <xdr:colOff>542925</xdr:colOff>
          <xdr:row>82</xdr:row>
          <xdr:rowOff>0</xdr:rowOff>
        </xdr:to>
        <xdr:sp macro="" textlink="">
          <xdr:nvSpPr>
            <xdr:cNvPr id="1518" name="Option Button 494" hidden="1">
              <a:extLst>
                <a:ext uri="{63B3BB69-23CF-44E3-9099-C40C66FF867C}">
                  <a14:compatExt spid="_x0000_s1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80</xdr:row>
          <xdr:rowOff>161925</xdr:rowOff>
        </xdr:from>
        <xdr:to>
          <xdr:col>16</xdr:col>
          <xdr:colOff>476250</xdr:colOff>
          <xdr:row>82</xdr:row>
          <xdr:rowOff>0</xdr:rowOff>
        </xdr:to>
        <xdr:sp macro="" textlink="">
          <xdr:nvSpPr>
            <xdr:cNvPr id="1519" name="Option Button 495" hidden="1">
              <a:extLst>
                <a:ext uri="{63B3BB69-23CF-44E3-9099-C40C66FF867C}">
                  <a14:compatExt spid="_x0000_s1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80</xdr:row>
          <xdr:rowOff>161925</xdr:rowOff>
        </xdr:from>
        <xdr:to>
          <xdr:col>20</xdr:col>
          <xdr:colOff>409575</xdr:colOff>
          <xdr:row>82</xdr:row>
          <xdr:rowOff>0</xdr:rowOff>
        </xdr:to>
        <xdr:sp macro="" textlink="">
          <xdr:nvSpPr>
            <xdr:cNvPr id="1520" name="Option Button 496" hidden="1">
              <a:extLst>
                <a:ext uri="{63B3BB69-23CF-44E3-9099-C40C66FF867C}">
                  <a14:compatExt spid="_x0000_s1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83</xdr:row>
          <xdr:rowOff>85725</xdr:rowOff>
        </xdr:from>
        <xdr:to>
          <xdr:col>20</xdr:col>
          <xdr:colOff>590550</xdr:colOff>
          <xdr:row>86</xdr:row>
          <xdr:rowOff>123825</xdr:rowOff>
        </xdr:to>
        <xdr:sp macro="" textlink="">
          <xdr:nvSpPr>
            <xdr:cNvPr id="1521" name="Group Box 497" hidden="1">
              <a:extLst>
                <a:ext uri="{63B3BB69-23CF-44E3-9099-C40C66FF867C}">
                  <a14:compatExt spid="_x0000_s1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22. Não envio brindes aos clientes em momentos específicos, independente de ser com objetivos comerciais ou não.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84</xdr:row>
          <xdr:rowOff>95250</xdr:rowOff>
        </xdr:from>
        <xdr:to>
          <xdr:col>5</xdr:col>
          <xdr:colOff>66675</xdr:colOff>
          <xdr:row>85</xdr:row>
          <xdr:rowOff>123825</xdr:rowOff>
        </xdr:to>
        <xdr:sp macro="" textlink="">
          <xdr:nvSpPr>
            <xdr:cNvPr id="1522" name="Option Button 498" hidden="1">
              <a:extLst>
                <a:ext uri="{63B3BB69-23CF-44E3-9099-C40C66FF867C}">
                  <a14:compatExt spid="_x0000_s1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84</xdr:row>
          <xdr:rowOff>95250</xdr:rowOff>
        </xdr:from>
        <xdr:to>
          <xdr:col>9</xdr:col>
          <xdr:colOff>0</xdr:colOff>
          <xdr:row>85</xdr:row>
          <xdr:rowOff>123825</xdr:rowOff>
        </xdr:to>
        <xdr:sp macro="" textlink="">
          <xdr:nvSpPr>
            <xdr:cNvPr id="1523" name="Option Button 499" hidden="1">
              <a:extLst>
                <a:ext uri="{63B3BB69-23CF-44E3-9099-C40C66FF867C}">
                  <a14:compatExt spid="_x0000_s1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84</xdr:row>
          <xdr:rowOff>95250</xdr:rowOff>
        </xdr:from>
        <xdr:to>
          <xdr:col>12</xdr:col>
          <xdr:colOff>542925</xdr:colOff>
          <xdr:row>85</xdr:row>
          <xdr:rowOff>123825</xdr:rowOff>
        </xdr:to>
        <xdr:sp macro="" textlink="">
          <xdr:nvSpPr>
            <xdr:cNvPr id="1524" name="Option Button 500" hidden="1">
              <a:extLst>
                <a:ext uri="{63B3BB69-23CF-44E3-9099-C40C66FF867C}">
                  <a14:compatExt spid="_x0000_s1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84</xdr:row>
          <xdr:rowOff>95250</xdr:rowOff>
        </xdr:from>
        <xdr:to>
          <xdr:col>16</xdr:col>
          <xdr:colOff>476250</xdr:colOff>
          <xdr:row>85</xdr:row>
          <xdr:rowOff>123825</xdr:rowOff>
        </xdr:to>
        <xdr:sp macro="" textlink="">
          <xdr:nvSpPr>
            <xdr:cNvPr id="1525" name="Option Button 501" hidden="1">
              <a:extLst>
                <a:ext uri="{63B3BB69-23CF-44E3-9099-C40C66FF867C}">
                  <a14:compatExt spid="_x0000_s1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84</xdr:row>
          <xdr:rowOff>95250</xdr:rowOff>
        </xdr:from>
        <xdr:to>
          <xdr:col>20</xdr:col>
          <xdr:colOff>409575</xdr:colOff>
          <xdr:row>85</xdr:row>
          <xdr:rowOff>123825</xdr:rowOff>
        </xdr:to>
        <xdr:sp macro="" textlink="">
          <xdr:nvSpPr>
            <xdr:cNvPr id="1526" name="Option Button 502" hidden="1">
              <a:extLst>
                <a:ext uri="{63B3BB69-23CF-44E3-9099-C40C66FF867C}">
                  <a14:compatExt spid="_x0000_s1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87</xdr:row>
          <xdr:rowOff>19050</xdr:rowOff>
        </xdr:from>
        <xdr:to>
          <xdr:col>20</xdr:col>
          <xdr:colOff>590550</xdr:colOff>
          <xdr:row>90</xdr:row>
          <xdr:rowOff>57150</xdr:rowOff>
        </xdr:to>
        <xdr:sp macro="" textlink="">
          <xdr:nvSpPr>
            <xdr:cNvPr id="1527" name="Group Box 503" hidden="1">
              <a:extLst>
                <a:ext uri="{63B3BB69-23CF-44E3-9099-C40C66FF867C}">
                  <a14:compatExt spid="_x0000_s1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23. Faço controles financeiros por meio de registros e utilizo esses dados para subsidiar as minhas decisões.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88</xdr:row>
          <xdr:rowOff>28575</xdr:rowOff>
        </xdr:from>
        <xdr:to>
          <xdr:col>5</xdr:col>
          <xdr:colOff>66675</xdr:colOff>
          <xdr:row>89</xdr:row>
          <xdr:rowOff>57150</xdr:rowOff>
        </xdr:to>
        <xdr:sp macro="" textlink="">
          <xdr:nvSpPr>
            <xdr:cNvPr id="1528" name="Option Button 504" hidden="1">
              <a:extLst>
                <a:ext uri="{63B3BB69-23CF-44E3-9099-C40C66FF867C}">
                  <a14:compatExt spid="_x0000_s1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88</xdr:row>
          <xdr:rowOff>28575</xdr:rowOff>
        </xdr:from>
        <xdr:to>
          <xdr:col>9</xdr:col>
          <xdr:colOff>0</xdr:colOff>
          <xdr:row>89</xdr:row>
          <xdr:rowOff>57150</xdr:rowOff>
        </xdr:to>
        <xdr:sp macro="" textlink="">
          <xdr:nvSpPr>
            <xdr:cNvPr id="1529" name="Option Button 505" hidden="1">
              <a:extLst>
                <a:ext uri="{63B3BB69-23CF-44E3-9099-C40C66FF867C}">
                  <a14:compatExt spid="_x0000_s1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88</xdr:row>
          <xdr:rowOff>28575</xdr:rowOff>
        </xdr:from>
        <xdr:to>
          <xdr:col>12</xdr:col>
          <xdr:colOff>542925</xdr:colOff>
          <xdr:row>89</xdr:row>
          <xdr:rowOff>57150</xdr:rowOff>
        </xdr:to>
        <xdr:sp macro="" textlink="">
          <xdr:nvSpPr>
            <xdr:cNvPr id="1530" name="Option Button 506" hidden="1">
              <a:extLst>
                <a:ext uri="{63B3BB69-23CF-44E3-9099-C40C66FF867C}">
                  <a14:compatExt spid="_x0000_s1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88</xdr:row>
          <xdr:rowOff>28575</xdr:rowOff>
        </xdr:from>
        <xdr:to>
          <xdr:col>16</xdr:col>
          <xdr:colOff>476250</xdr:colOff>
          <xdr:row>89</xdr:row>
          <xdr:rowOff>57150</xdr:rowOff>
        </xdr:to>
        <xdr:sp macro="" textlink="">
          <xdr:nvSpPr>
            <xdr:cNvPr id="1531" name="Option Button 507" hidden="1">
              <a:extLst>
                <a:ext uri="{63B3BB69-23CF-44E3-9099-C40C66FF867C}">
                  <a14:compatExt spid="_x0000_s1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88</xdr:row>
          <xdr:rowOff>28575</xdr:rowOff>
        </xdr:from>
        <xdr:to>
          <xdr:col>20</xdr:col>
          <xdr:colOff>409575</xdr:colOff>
          <xdr:row>89</xdr:row>
          <xdr:rowOff>57150</xdr:rowOff>
        </xdr:to>
        <xdr:sp macro="" textlink="">
          <xdr:nvSpPr>
            <xdr:cNvPr id="1532" name="Option Button 508" hidden="1">
              <a:extLst>
                <a:ext uri="{63B3BB69-23CF-44E3-9099-C40C66FF867C}">
                  <a14:compatExt spid="_x0000_s1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90</xdr:row>
          <xdr:rowOff>142875</xdr:rowOff>
        </xdr:from>
        <xdr:to>
          <xdr:col>21</xdr:col>
          <xdr:colOff>38100</xdr:colOff>
          <xdr:row>93</xdr:row>
          <xdr:rowOff>180975</xdr:rowOff>
        </xdr:to>
        <xdr:sp macro="" textlink="">
          <xdr:nvSpPr>
            <xdr:cNvPr id="1533" name="Group Box 509" hidden="1">
              <a:extLst>
                <a:ext uri="{63B3BB69-23CF-44E3-9099-C40C66FF867C}">
                  <a14:compatExt spid="_x0000_s1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24. Quando encontro dificuldades na execução de uma atividade, não aguardo um tempo até que ela se resolva por si.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91</xdr:row>
          <xdr:rowOff>152400</xdr:rowOff>
        </xdr:from>
        <xdr:to>
          <xdr:col>5</xdr:col>
          <xdr:colOff>66675</xdr:colOff>
          <xdr:row>92</xdr:row>
          <xdr:rowOff>180975</xdr:rowOff>
        </xdr:to>
        <xdr:sp macro="" textlink="">
          <xdr:nvSpPr>
            <xdr:cNvPr id="1534" name="Option Button 510" hidden="1">
              <a:extLst>
                <a:ext uri="{63B3BB69-23CF-44E3-9099-C40C66FF867C}">
                  <a14:compatExt spid="_x0000_s1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91</xdr:row>
          <xdr:rowOff>152400</xdr:rowOff>
        </xdr:from>
        <xdr:to>
          <xdr:col>9</xdr:col>
          <xdr:colOff>0</xdr:colOff>
          <xdr:row>92</xdr:row>
          <xdr:rowOff>180975</xdr:rowOff>
        </xdr:to>
        <xdr:sp macro="" textlink="">
          <xdr:nvSpPr>
            <xdr:cNvPr id="1535" name="Option Button 511" hidden="1">
              <a:extLst>
                <a:ext uri="{63B3BB69-23CF-44E3-9099-C40C66FF867C}">
                  <a14:compatExt spid="_x0000_s1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91</xdr:row>
          <xdr:rowOff>152400</xdr:rowOff>
        </xdr:from>
        <xdr:to>
          <xdr:col>12</xdr:col>
          <xdr:colOff>542925</xdr:colOff>
          <xdr:row>92</xdr:row>
          <xdr:rowOff>180975</xdr:rowOff>
        </xdr:to>
        <xdr:sp macro="" textlink="">
          <xdr:nvSpPr>
            <xdr:cNvPr id="1536" name="Option Button 512" hidden="1">
              <a:extLst>
                <a:ext uri="{63B3BB69-23CF-44E3-9099-C40C66FF867C}">
                  <a14:compatExt spid="_x0000_s1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91</xdr:row>
          <xdr:rowOff>152400</xdr:rowOff>
        </xdr:from>
        <xdr:to>
          <xdr:col>16</xdr:col>
          <xdr:colOff>476250</xdr:colOff>
          <xdr:row>92</xdr:row>
          <xdr:rowOff>180975</xdr:rowOff>
        </xdr:to>
        <xdr:sp macro="" textlink="">
          <xdr:nvSpPr>
            <xdr:cNvPr id="1537" name="Option Button 513" hidden="1">
              <a:extLst>
                <a:ext uri="{63B3BB69-23CF-44E3-9099-C40C66FF867C}">
                  <a14:compatExt spid="_x0000_s1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91</xdr:row>
          <xdr:rowOff>152400</xdr:rowOff>
        </xdr:from>
        <xdr:to>
          <xdr:col>20</xdr:col>
          <xdr:colOff>409575</xdr:colOff>
          <xdr:row>92</xdr:row>
          <xdr:rowOff>180975</xdr:rowOff>
        </xdr:to>
        <xdr:sp macro="" textlink="">
          <xdr:nvSpPr>
            <xdr:cNvPr id="1538" name="Option Button 514" hidden="1">
              <a:extLst>
                <a:ext uri="{63B3BB69-23CF-44E3-9099-C40C66FF867C}">
                  <a14:compatExt spid="_x0000_s1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94</xdr:row>
          <xdr:rowOff>76200</xdr:rowOff>
        </xdr:from>
        <xdr:to>
          <xdr:col>20</xdr:col>
          <xdr:colOff>590550</xdr:colOff>
          <xdr:row>97</xdr:row>
          <xdr:rowOff>114300</xdr:rowOff>
        </xdr:to>
        <xdr:sp macro="" textlink="">
          <xdr:nvSpPr>
            <xdr:cNvPr id="1539" name="Group Box 515" hidden="1">
              <a:extLst>
                <a:ext uri="{63B3BB69-23CF-44E3-9099-C40C66FF867C}">
                  <a14:compatExt spid="_x0000_s1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25. Quando necessário, trabalho muito e com afinco, para completar uma tarefa ou alcançar um objetivo.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95</xdr:row>
          <xdr:rowOff>85725</xdr:rowOff>
        </xdr:from>
        <xdr:to>
          <xdr:col>5</xdr:col>
          <xdr:colOff>66675</xdr:colOff>
          <xdr:row>96</xdr:row>
          <xdr:rowOff>114300</xdr:rowOff>
        </xdr:to>
        <xdr:sp macro="" textlink="">
          <xdr:nvSpPr>
            <xdr:cNvPr id="1540" name="Option Button 516" hidden="1">
              <a:extLst>
                <a:ext uri="{63B3BB69-23CF-44E3-9099-C40C66FF867C}">
                  <a14:compatExt spid="_x0000_s1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95</xdr:row>
          <xdr:rowOff>85725</xdr:rowOff>
        </xdr:from>
        <xdr:to>
          <xdr:col>9</xdr:col>
          <xdr:colOff>0</xdr:colOff>
          <xdr:row>96</xdr:row>
          <xdr:rowOff>114300</xdr:rowOff>
        </xdr:to>
        <xdr:sp macro="" textlink="">
          <xdr:nvSpPr>
            <xdr:cNvPr id="1541" name="Option Button 517" hidden="1">
              <a:extLst>
                <a:ext uri="{63B3BB69-23CF-44E3-9099-C40C66FF867C}">
                  <a14:compatExt spid="_x0000_s1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95</xdr:row>
          <xdr:rowOff>85725</xdr:rowOff>
        </xdr:from>
        <xdr:to>
          <xdr:col>12</xdr:col>
          <xdr:colOff>542925</xdr:colOff>
          <xdr:row>96</xdr:row>
          <xdr:rowOff>114300</xdr:rowOff>
        </xdr:to>
        <xdr:sp macro="" textlink="">
          <xdr:nvSpPr>
            <xdr:cNvPr id="1542" name="Option Button 518" hidden="1">
              <a:extLst>
                <a:ext uri="{63B3BB69-23CF-44E3-9099-C40C66FF867C}">
                  <a14:compatExt spid="_x0000_s1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95</xdr:row>
          <xdr:rowOff>85725</xdr:rowOff>
        </xdr:from>
        <xdr:to>
          <xdr:col>16</xdr:col>
          <xdr:colOff>476250</xdr:colOff>
          <xdr:row>96</xdr:row>
          <xdr:rowOff>114300</xdr:rowOff>
        </xdr:to>
        <xdr:sp macro="" textlink="">
          <xdr:nvSpPr>
            <xdr:cNvPr id="1543" name="Option Button 519" hidden="1">
              <a:extLst>
                <a:ext uri="{63B3BB69-23CF-44E3-9099-C40C66FF867C}">
                  <a14:compatExt spid="_x0000_s1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95</xdr:row>
          <xdr:rowOff>85725</xdr:rowOff>
        </xdr:from>
        <xdr:to>
          <xdr:col>20</xdr:col>
          <xdr:colOff>409575</xdr:colOff>
          <xdr:row>96</xdr:row>
          <xdr:rowOff>114300</xdr:rowOff>
        </xdr:to>
        <xdr:sp macro="" textlink="">
          <xdr:nvSpPr>
            <xdr:cNvPr id="1544" name="Option Button 520" hidden="1">
              <a:extLst>
                <a:ext uri="{63B3BB69-23CF-44E3-9099-C40C66FF867C}">
                  <a14:compatExt spid="_x0000_s1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98</xdr:row>
          <xdr:rowOff>9525</xdr:rowOff>
        </xdr:from>
        <xdr:to>
          <xdr:col>20</xdr:col>
          <xdr:colOff>590550</xdr:colOff>
          <xdr:row>101</xdr:row>
          <xdr:rowOff>47625</xdr:rowOff>
        </xdr:to>
        <xdr:sp macro="" textlink="">
          <xdr:nvSpPr>
            <xdr:cNvPr id="1545" name="Group Box 521" hidden="1">
              <a:extLst>
                <a:ext uri="{63B3BB69-23CF-44E3-9099-C40C66FF867C}">
                  <a14:compatExt spid="_x0000_s1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26. Faço coisas que, na opinião dos outros, são arriscadas.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99</xdr:row>
          <xdr:rowOff>19050</xdr:rowOff>
        </xdr:from>
        <xdr:to>
          <xdr:col>5</xdr:col>
          <xdr:colOff>66675</xdr:colOff>
          <xdr:row>100</xdr:row>
          <xdr:rowOff>47625</xdr:rowOff>
        </xdr:to>
        <xdr:sp macro="" textlink="">
          <xdr:nvSpPr>
            <xdr:cNvPr id="1546" name="Option Button 522" hidden="1">
              <a:extLst>
                <a:ext uri="{63B3BB69-23CF-44E3-9099-C40C66FF867C}">
                  <a14:compatExt spid="_x0000_s1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99</xdr:row>
          <xdr:rowOff>19050</xdr:rowOff>
        </xdr:from>
        <xdr:to>
          <xdr:col>9</xdr:col>
          <xdr:colOff>0</xdr:colOff>
          <xdr:row>100</xdr:row>
          <xdr:rowOff>47625</xdr:rowOff>
        </xdr:to>
        <xdr:sp macro="" textlink="">
          <xdr:nvSpPr>
            <xdr:cNvPr id="1547" name="Option Button 523" hidden="1">
              <a:extLst>
                <a:ext uri="{63B3BB69-23CF-44E3-9099-C40C66FF867C}">
                  <a14:compatExt spid="_x0000_s1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99</xdr:row>
          <xdr:rowOff>19050</xdr:rowOff>
        </xdr:from>
        <xdr:to>
          <xdr:col>12</xdr:col>
          <xdr:colOff>542925</xdr:colOff>
          <xdr:row>100</xdr:row>
          <xdr:rowOff>47625</xdr:rowOff>
        </xdr:to>
        <xdr:sp macro="" textlink="">
          <xdr:nvSpPr>
            <xdr:cNvPr id="1548" name="Option Button 524" hidden="1">
              <a:extLst>
                <a:ext uri="{63B3BB69-23CF-44E3-9099-C40C66FF867C}">
                  <a14:compatExt spid="_x0000_s1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99</xdr:row>
          <xdr:rowOff>19050</xdr:rowOff>
        </xdr:from>
        <xdr:to>
          <xdr:col>16</xdr:col>
          <xdr:colOff>476250</xdr:colOff>
          <xdr:row>100</xdr:row>
          <xdr:rowOff>47625</xdr:rowOff>
        </xdr:to>
        <xdr:sp macro="" textlink="">
          <xdr:nvSpPr>
            <xdr:cNvPr id="1549" name="Option Button 525" hidden="1">
              <a:extLst>
                <a:ext uri="{63B3BB69-23CF-44E3-9099-C40C66FF867C}">
                  <a14:compatExt spid="_x0000_s1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99</xdr:row>
          <xdr:rowOff>19050</xdr:rowOff>
        </xdr:from>
        <xdr:to>
          <xdr:col>20</xdr:col>
          <xdr:colOff>409575</xdr:colOff>
          <xdr:row>100</xdr:row>
          <xdr:rowOff>47625</xdr:rowOff>
        </xdr:to>
        <xdr:sp macro="" textlink="">
          <xdr:nvSpPr>
            <xdr:cNvPr id="1550" name="Option Button 526" hidden="1">
              <a:extLst>
                <a:ext uri="{63B3BB69-23CF-44E3-9099-C40C66FF867C}">
                  <a14:compatExt spid="_x0000_s1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101</xdr:row>
          <xdr:rowOff>133350</xdr:rowOff>
        </xdr:from>
        <xdr:to>
          <xdr:col>20</xdr:col>
          <xdr:colOff>590550</xdr:colOff>
          <xdr:row>104</xdr:row>
          <xdr:rowOff>171450</xdr:rowOff>
        </xdr:to>
        <xdr:sp macro="" textlink="">
          <xdr:nvSpPr>
            <xdr:cNvPr id="1551" name="Group Box 527" hidden="1">
              <a:extLst>
                <a:ext uri="{63B3BB69-23CF-44E3-9099-C40C66FF867C}">
                  <a14:compatExt spid="_x0000_s1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27. Minhas ações diárias são fortemente influenciadas por meus objetivos de médio e longo prazos.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102</xdr:row>
          <xdr:rowOff>142875</xdr:rowOff>
        </xdr:from>
        <xdr:to>
          <xdr:col>5</xdr:col>
          <xdr:colOff>66675</xdr:colOff>
          <xdr:row>103</xdr:row>
          <xdr:rowOff>171450</xdr:rowOff>
        </xdr:to>
        <xdr:sp macro="" textlink="">
          <xdr:nvSpPr>
            <xdr:cNvPr id="1552" name="Option Button 528" hidden="1">
              <a:extLst>
                <a:ext uri="{63B3BB69-23CF-44E3-9099-C40C66FF867C}">
                  <a14:compatExt spid="_x0000_s1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102</xdr:row>
          <xdr:rowOff>142875</xdr:rowOff>
        </xdr:from>
        <xdr:to>
          <xdr:col>9</xdr:col>
          <xdr:colOff>0</xdr:colOff>
          <xdr:row>103</xdr:row>
          <xdr:rowOff>171450</xdr:rowOff>
        </xdr:to>
        <xdr:sp macro="" textlink="">
          <xdr:nvSpPr>
            <xdr:cNvPr id="1553" name="Option Button 529" hidden="1">
              <a:extLst>
                <a:ext uri="{63B3BB69-23CF-44E3-9099-C40C66FF867C}">
                  <a14:compatExt spid="_x0000_s1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102</xdr:row>
          <xdr:rowOff>142875</xdr:rowOff>
        </xdr:from>
        <xdr:to>
          <xdr:col>12</xdr:col>
          <xdr:colOff>542925</xdr:colOff>
          <xdr:row>103</xdr:row>
          <xdr:rowOff>171450</xdr:rowOff>
        </xdr:to>
        <xdr:sp macro="" textlink="">
          <xdr:nvSpPr>
            <xdr:cNvPr id="1554" name="Option Button 530" hidden="1">
              <a:extLst>
                <a:ext uri="{63B3BB69-23CF-44E3-9099-C40C66FF867C}">
                  <a14:compatExt spid="_x0000_s1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102</xdr:row>
          <xdr:rowOff>142875</xdr:rowOff>
        </xdr:from>
        <xdr:to>
          <xdr:col>16</xdr:col>
          <xdr:colOff>476250</xdr:colOff>
          <xdr:row>103</xdr:row>
          <xdr:rowOff>171450</xdr:rowOff>
        </xdr:to>
        <xdr:sp macro="" textlink="">
          <xdr:nvSpPr>
            <xdr:cNvPr id="1555" name="Option Button 531" hidden="1">
              <a:extLst>
                <a:ext uri="{63B3BB69-23CF-44E3-9099-C40C66FF867C}">
                  <a14:compatExt spid="_x0000_s1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102</xdr:row>
          <xdr:rowOff>142875</xdr:rowOff>
        </xdr:from>
        <xdr:to>
          <xdr:col>20</xdr:col>
          <xdr:colOff>409575</xdr:colOff>
          <xdr:row>103</xdr:row>
          <xdr:rowOff>171450</xdr:rowOff>
        </xdr:to>
        <xdr:sp macro="" textlink="">
          <xdr:nvSpPr>
            <xdr:cNvPr id="1556" name="Option Button 532" hidden="1">
              <a:extLst>
                <a:ext uri="{63B3BB69-23CF-44E3-9099-C40C66FF867C}">
                  <a14:compatExt spid="_x0000_s1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105</xdr:row>
          <xdr:rowOff>66675</xdr:rowOff>
        </xdr:from>
        <xdr:to>
          <xdr:col>20</xdr:col>
          <xdr:colOff>590550</xdr:colOff>
          <xdr:row>108</xdr:row>
          <xdr:rowOff>104775</xdr:rowOff>
        </xdr:to>
        <xdr:sp macro="" textlink="">
          <xdr:nvSpPr>
            <xdr:cNvPr id="1557" name="Group Box 533" hidden="1">
              <a:extLst>
                <a:ext uri="{63B3BB69-23CF-44E3-9099-C40C66FF867C}">
                  <a14:compatExt spid="_x0000_s1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28. Visito feiras e participo de eventos e cursos correlatos ao meu empreendimento para conhecer novos produtos, serviços e fornecedores.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106</xdr:row>
          <xdr:rowOff>76200</xdr:rowOff>
        </xdr:from>
        <xdr:to>
          <xdr:col>5</xdr:col>
          <xdr:colOff>66675</xdr:colOff>
          <xdr:row>107</xdr:row>
          <xdr:rowOff>104775</xdr:rowOff>
        </xdr:to>
        <xdr:sp macro="" textlink="">
          <xdr:nvSpPr>
            <xdr:cNvPr id="1558" name="Option Button 534" hidden="1">
              <a:extLst>
                <a:ext uri="{63B3BB69-23CF-44E3-9099-C40C66FF867C}">
                  <a14:compatExt spid="_x0000_s1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106</xdr:row>
          <xdr:rowOff>76200</xdr:rowOff>
        </xdr:from>
        <xdr:to>
          <xdr:col>9</xdr:col>
          <xdr:colOff>0</xdr:colOff>
          <xdr:row>107</xdr:row>
          <xdr:rowOff>104775</xdr:rowOff>
        </xdr:to>
        <xdr:sp macro="" textlink="">
          <xdr:nvSpPr>
            <xdr:cNvPr id="1559" name="Option Button 535" hidden="1">
              <a:extLst>
                <a:ext uri="{63B3BB69-23CF-44E3-9099-C40C66FF867C}">
                  <a14:compatExt spid="_x0000_s1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106</xdr:row>
          <xdr:rowOff>76200</xdr:rowOff>
        </xdr:from>
        <xdr:to>
          <xdr:col>12</xdr:col>
          <xdr:colOff>542925</xdr:colOff>
          <xdr:row>107</xdr:row>
          <xdr:rowOff>104775</xdr:rowOff>
        </xdr:to>
        <xdr:sp macro="" textlink="">
          <xdr:nvSpPr>
            <xdr:cNvPr id="1560" name="Option Button 536" hidden="1">
              <a:extLst>
                <a:ext uri="{63B3BB69-23CF-44E3-9099-C40C66FF867C}">
                  <a14:compatExt spid="_x0000_s1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106</xdr:row>
          <xdr:rowOff>76200</xdr:rowOff>
        </xdr:from>
        <xdr:to>
          <xdr:col>16</xdr:col>
          <xdr:colOff>476250</xdr:colOff>
          <xdr:row>107</xdr:row>
          <xdr:rowOff>104775</xdr:rowOff>
        </xdr:to>
        <xdr:sp macro="" textlink="">
          <xdr:nvSpPr>
            <xdr:cNvPr id="1561" name="Option Button 537" hidden="1">
              <a:extLst>
                <a:ext uri="{63B3BB69-23CF-44E3-9099-C40C66FF867C}">
                  <a14:compatExt spid="_x0000_s1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106</xdr:row>
          <xdr:rowOff>76200</xdr:rowOff>
        </xdr:from>
        <xdr:to>
          <xdr:col>20</xdr:col>
          <xdr:colOff>409575</xdr:colOff>
          <xdr:row>107</xdr:row>
          <xdr:rowOff>104775</xdr:rowOff>
        </xdr:to>
        <xdr:sp macro="" textlink="">
          <xdr:nvSpPr>
            <xdr:cNvPr id="1562" name="Option Button 538" hidden="1">
              <a:extLst>
                <a:ext uri="{63B3BB69-23CF-44E3-9099-C40C66FF867C}">
                  <a14:compatExt spid="_x0000_s1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109</xdr:row>
          <xdr:rowOff>0</xdr:rowOff>
        </xdr:from>
        <xdr:to>
          <xdr:col>20</xdr:col>
          <xdr:colOff>590550</xdr:colOff>
          <xdr:row>112</xdr:row>
          <xdr:rowOff>38100</xdr:rowOff>
        </xdr:to>
        <xdr:sp macro="" textlink="">
          <xdr:nvSpPr>
            <xdr:cNvPr id="1568" name="Group Box 544" hidden="1">
              <a:extLst>
                <a:ext uri="{63B3BB69-23CF-44E3-9099-C40C66FF867C}">
                  <a14:compatExt spid="_x0000_s1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29. Encontro oportunidades de novos negócios quando identifico necessidades ou diagnostico problemas reais.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110</xdr:row>
          <xdr:rowOff>9525</xdr:rowOff>
        </xdr:from>
        <xdr:to>
          <xdr:col>5</xdr:col>
          <xdr:colOff>66675</xdr:colOff>
          <xdr:row>111</xdr:row>
          <xdr:rowOff>38100</xdr:rowOff>
        </xdr:to>
        <xdr:sp macro="" textlink="">
          <xdr:nvSpPr>
            <xdr:cNvPr id="1569" name="Option Button 545" hidden="1">
              <a:extLst>
                <a:ext uri="{63B3BB69-23CF-44E3-9099-C40C66FF867C}">
                  <a14:compatExt spid="_x0000_s1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110</xdr:row>
          <xdr:rowOff>9525</xdr:rowOff>
        </xdr:from>
        <xdr:to>
          <xdr:col>9</xdr:col>
          <xdr:colOff>0</xdr:colOff>
          <xdr:row>111</xdr:row>
          <xdr:rowOff>38100</xdr:rowOff>
        </xdr:to>
        <xdr:sp macro="" textlink="">
          <xdr:nvSpPr>
            <xdr:cNvPr id="1570" name="Option Button 546" hidden="1">
              <a:extLst>
                <a:ext uri="{63B3BB69-23CF-44E3-9099-C40C66FF867C}">
                  <a14:compatExt spid="_x0000_s1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110</xdr:row>
          <xdr:rowOff>9525</xdr:rowOff>
        </xdr:from>
        <xdr:to>
          <xdr:col>12</xdr:col>
          <xdr:colOff>542925</xdr:colOff>
          <xdr:row>111</xdr:row>
          <xdr:rowOff>38100</xdr:rowOff>
        </xdr:to>
        <xdr:sp macro="" textlink="">
          <xdr:nvSpPr>
            <xdr:cNvPr id="1571" name="Option Button 547" hidden="1">
              <a:extLst>
                <a:ext uri="{63B3BB69-23CF-44E3-9099-C40C66FF867C}">
                  <a14:compatExt spid="_x0000_s1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110</xdr:row>
          <xdr:rowOff>9525</xdr:rowOff>
        </xdr:from>
        <xdr:to>
          <xdr:col>16</xdr:col>
          <xdr:colOff>476250</xdr:colOff>
          <xdr:row>111</xdr:row>
          <xdr:rowOff>38100</xdr:rowOff>
        </xdr:to>
        <xdr:sp macro="" textlink="">
          <xdr:nvSpPr>
            <xdr:cNvPr id="1572" name="Option Button 548" hidden="1">
              <a:extLst>
                <a:ext uri="{63B3BB69-23CF-44E3-9099-C40C66FF867C}">
                  <a14:compatExt spid="_x0000_s1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110</xdr:row>
          <xdr:rowOff>9525</xdr:rowOff>
        </xdr:from>
        <xdr:to>
          <xdr:col>20</xdr:col>
          <xdr:colOff>409575</xdr:colOff>
          <xdr:row>111</xdr:row>
          <xdr:rowOff>38100</xdr:rowOff>
        </xdr:to>
        <xdr:sp macro="" textlink="">
          <xdr:nvSpPr>
            <xdr:cNvPr id="1573" name="Option Button 549" hidden="1">
              <a:extLst>
                <a:ext uri="{63B3BB69-23CF-44E3-9099-C40C66FF867C}">
                  <a14:compatExt spid="_x0000_s1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112</xdr:row>
          <xdr:rowOff>123825</xdr:rowOff>
        </xdr:from>
        <xdr:to>
          <xdr:col>20</xdr:col>
          <xdr:colOff>590550</xdr:colOff>
          <xdr:row>115</xdr:row>
          <xdr:rowOff>161925</xdr:rowOff>
        </xdr:to>
        <xdr:sp macro="" textlink="">
          <xdr:nvSpPr>
            <xdr:cNvPr id="1574" name="Group Box 550" hidden="1">
              <a:extLst>
                <a:ext uri="{63B3BB69-23CF-44E3-9099-C40C66FF867C}">
                  <a14:compatExt spid="_x0000_s1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30. Realizaria vendas para clientes, ainda que não tenha lucro imediato e respeitando preço mínimo, tendo em vista, futuras possibilidades de outros negócios com eles.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113</xdr:row>
          <xdr:rowOff>133350</xdr:rowOff>
        </xdr:from>
        <xdr:to>
          <xdr:col>5</xdr:col>
          <xdr:colOff>66675</xdr:colOff>
          <xdr:row>114</xdr:row>
          <xdr:rowOff>161925</xdr:rowOff>
        </xdr:to>
        <xdr:sp macro="" textlink="">
          <xdr:nvSpPr>
            <xdr:cNvPr id="1575" name="Option Button 551" hidden="1">
              <a:extLst>
                <a:ext uri="{63B3BB69-23CF-44E3-9099-C40C66FF867C}">
                  <a14:compatExt spid="_x0000_s1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113</xdr:row>
          <xdr:rowOff>133350</xdr:rowOff>
        </xdr:from>
        <xdr:to>
          <xdr:col>9</xdr:col>
          <xdr:colOff>0</xdr:colOff>
          <xdr:row>114</xdr:row>
          <xdr:rowOff>161925</xdr:rowOff>
        </xdr:to>
        <xdr:sp macro="" textlink="">
          <xdr:nvSpPr>
            <xdr:cNvPr id="1576" name="Option Button 552" hidden="1">
              <a:extLst>
                <a:ext uri="{63B3BB69-23CF-44E3-9099-C40C66FF867C}">
                  <a14:compatExt spid="_x0000_s1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113</xdr:row>
          <xdr:rowOff>133350</xdr:rowOff>
        </xdr:from>
        <xdr:to>
          <xdr:col>12</xdr:col>
          <xdr:colOff>542925</xdr:colOff>
          <xdr:row>114</xdr:row>
          <xdr:rowOff>161925</xdr:rowOff>
        </xdr:to>
        <xdr:sp macro="" textlink="">
          <xdr:nvSpPr>
            <xdr:cNvPr id="1577" name="Option Button 553" hidden="1">
              <a:extLst>
                <a:ext uri="{63B3BB69-23CF-44E3-9099-C40C66FF867C}">
                  <a14:compatExt spid="_x0000_s1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113</xdr:row>
          <xdr:rowOff>133350</xdr:rowOff>
        </xdr:from>
        <xdr:to>
          <xdr:col>16</xdr:col>
          <xdr:colOff>476250</xdr:colOff>
          <xdr:row>114</xdr:row>
          <xdr:rowOff>161925</xdr:rowOff>
        </xdr:to>
        <xdr:sp macro="" textlink="">
          <xdr:nvSpPr>
            <xdr:cNvPr id="1578" name="Option Button 554" hidden="1">
              <a:extLst>
                <a:ext uri="{63B3BB69-23CF-44E3-9099-C40C66FF867C}">
                  <a14:compatExt spid="_x0000_s1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113</xdr:row>
          <xdr:rowOff>133350</xdr:rowOff>
        </xdr:from>
        <xdr:to>
          <xdr:col>20</xdr:col>
          <xdr:colOff>409575</xdr:colOff>
          <xdr:row>114</xdr:row>
          <xdr:rowOff>161925</xdr:rowOff>
        </xdr:to>
        <xdr:sp macro="" textlink="">
          <xdr:nvSpPr>
            <xdr:cNvPr id="1579" name="Option Button 555" hidden="1">
              <a:extLst>
                <a:ext uri="{63B3BB69-23CF-44E3-9099-C40C66FF867C}">
                  <a14:compatExt spid="_x0000_s1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371475</xdr:colOff>
      <xdr:row>116</xdr:row>
      <xdr:rowOff>66675</xdr:rowOff>
    </xdr:from>
    <xdr:to>
      <xdr:col>20</xdr:col>
      <xdr:colOff>572328</xdr:colOff>
      <xdr:row>119</xdr:row>
      <xdr:rowOff>74130</xdr:rowOff>
    </xdr:to>
    <xdr:sp macro="[0]!irparamenu" textlink="">
      <xdr:nvSpPr>
        <xdr:cNvPr id="4" name="CaixaDeTexto 3"/>
        <xdr:cNvSpPr txBox="1"/>
      </xdr:nvSpPr>
      <xdr:spPr>
        <a:xfrm>
          <a:off x="10239375" y="23326725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181705</xdr:colOff>
      <xdr:row>1</xdr:row>
      <xdr:rowOff>203940</xdr:rowOff>
    </xdr:to>
    <xdr:pic>
      <xdr:nvPicPr>
        <xdr:cNvPr id="5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1925" y="47625"/>
          <a:ext cx="1962880" cy="442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180975</xdr:rowOff>
        </xdr:from>
        <xdr:to>
          <xdr:col>20</xdr:col>
          <xdr:colOff>590550</xdr:colOff>
          <xdr:row>10</xdr:row>
          <xdr:rowOff>28575</xdr:rowOff>
        </xdr:to>
        <xdr:sp macro="" textlink="">
          <xdr:nvSpPr>
            <xdr:cNvPr id="15361" name="Group Box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1. Quando desconheço algo, não me importo em buscar informações necessárias para o entendimento do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</xdr:row>
          <xdr:rowOff>0</xdr:rowOff>
        </xdr:from>
        <xdr:to>
          <xdr:col>5</xdr:col>
          <xdr:colOff>66675</xdr:colOff>
          <xdr:row>9</xdr:row>
          <xdr:rowOff>28575</xdr:rowOff>
        </xdr:to>
        <xdr:sp macro="" textlink="">
          <xdr:nvSpPr>
            <xdr:cNvPr id="15362" name="Option 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</xdr:row>
          <xdr:rowOff>0</xdr:rowOff>
        </xdr:from>
        <xdr:to>
          <xdr:col>9</xdr:col>
          <xdr:colOff>0</xdr:colOff>
          <xdr:row>9</xdr:row>
          <xdr:rowOff>28575</xdr:rowOff>
        </xdr:to>
        <xdr:sp macro="" textlink="">
          <xdr:nvSpPr>
            <xdr:cNvPr id="15363" name="Option 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</xdr:row>
          <xdr:rowOff>0</xdr:rowOff>
        </xdr:from>
        <xdr:to>
          <xdr:col>12</xdr:col>
          <xdr:colOff>542925</xdr:colOff>
          <xdr:row>9</xdr:row>
          <xdr:rowOff>28575</xdr:rowOff>
        </xdr:to>
        <xdr:sp macro="" textlink="">
          <xdr:nvSpPr>
            <xdr:cNvPr id="15364" name="Option 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</xdr:row>
          <xdr:rowOff>0</xdr:rowOff>
        </xdr:from>
        <xdr:to>
          <xdr:col>16</xdr:col>
          <xdr:colOff>476250</xdr:colOff>
          <xdr:row>9</xdr:row>
          <xdr:rowOff>28575</xdr:rowOff>
        </xdr:to>
        <xdr:sp macro="" textlink="">
          <xdr:nvSpPr>
            <xdr:cNvPr id="15365" name="Option 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</xdr:row>
          <xdr:rowOff>0</xdr:rowOff>
        </xdr:from>
        <xdr:to>
          <xdr:col>20</xdr:col>
          <xdr:colOff>409575</xdr:colOff>
          <xdr:row>9</xdr:row>
          <xdr:rowOff>28575</xdr:rowOff>
        </xdr:to>
        <xdr:sp macro="" textlink="">
          <xdr:nvSpPr>
            <xdr:cNvPr id="15366" name="Option 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114300</xdr:rowOff>
        </xdr:from>
        <xdr:to>
          <xdr:col>20</xdr:col>
          <xdr:colOff>590550</xdr:colOff>
          <xdr:row>13</xdr:row>
          <xdr:rowOff>152400</xdr:rowOff>
        </xdr:to>
        <xdr:sp macro="" textlink="">
          <xdr:nvSpPr>
            <xdr:cNvPr id="15367" name="Group Box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2. As pessoas concordam comigo baseadas em meus argumentos ou estratégias que adoto.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</xdr:row>
          <xdr:rowOff>123825</xdr:rowOff>
        </xdr:from>
        <xdr:to>
          <xdr:col>5</xdr:col>
          <xdr:colOff>66675</xdr:colOff>
          <xdr:row>12</xdr:row>
          <xdr:rowOff>152400</xdr:rowOff>
        </xdr:to>
        <xdr:sp macro="" textlink="">
          <xdr:nvSpPr>
            <xdr:cNvPr id="15368" name="Option Button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123825</xdr:rowOff>
        </xdr:from>
        <xdr:to>
          <xdr:col>9</xdr:col>
          <xdr:colOff>0</xdr:colOff>
          <xdr:row>12</xdr:row>
          <xdr:rowOff>152400</xdr:rowOff>
        </xdr:to>
        <xdr:sp macro="" textlink="">
          <xdr:nvSpPr>
            <xdr:cNvPr id="15369" name="Option Button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123825</xdr:rowOff>
        </xdr:from>
        <xdr:to>
          <xdr:col>12</xdr:col>
          <xdr:colOff>542925</xdr:colOff>
          <xdr:row>12</xdr:row>
          <xdr:rowOff>152400</xdr:rowOff>
        </xdr:to>
        <xdr:sp macro="" textlink="">
          <xdr:nvSpPr>
            <xdr:cNvPr id="15370" name="Option Button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11</xdr:row>
          <xdr:rowOff>123825</xdr:rowOff>
        </xdr:from>
        <xdr:to>
          <xdr:col>16</xdr:col>
          <xdr:colOff>476250</xdr:colOff>
          <xdr:row>12</xdr:row>
          <xdr:rowOff>152400</xdr:rowOff>
        </xdr:to>
        <xdr:sp macro="" textlink="">
          <xdr:nvSpPr>
            <xdr:cNvPr id="15371" name="Option Button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11</xdr:row>
          <xdr:rowOff>123825</xdr:rowOff>
        </xdr:from>
        <xdr:to>
          <xdr:col>20</xdr:col>
          <xdr:colOff>409575</xdr:colOff>
          <xdr:row>12</xdr:row>
          <xdr:rowOff>152400</xdr:rowOff>
        </xdr:to>
        <xdr:sp macro="" textlink="">
          <xdr:nvSpPr>
            <xdr:cNvPr id="15372" name="Option 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47625</xdr:rowOff>
        </xdr:from>
        <xdr:to>
          <xdr:col>20</xdr:col>
          <xdr:colOff>590550</xdr:colOff>
          <xdr:row>17</xdr:row>
          <xdr:rowOff>85725</xdr:rowOff>
        </xdr:to>
        <xdr:sp macro="" textlink="">
          <xdr:nvSpPr>
            <xdr:cNvPr id="15373" name="Group Box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3. Escolho situações em que posso controlar ao máximo os resultados finais, considerando as possibilidades de êxito ou fracasso antes de agir.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15</xdr:row>
          <xdr:rowOff>57150</xdr:rowOff>
        </xdr:from>
        <xdr:to>
          <xdr:col>5</xdr:col>
          <xdr:colOff>66675</xdr:colOff>
          <xdr:row>16</xdr:row>
          <xdr:rowOff>85725</xdr:rowOff>
        </xdr:to>
        <xdr:sp macro="" textlink="">
          <xdr:nvSpPr>
            <xdr:cNvPr id="15374" name="Option Button 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15</xdr:row>
          <xdr:rowOff>57150</xdr:rowOff>
        </xdr:from>
        <xdr:to>
          <xdr:col>9</xdr:col>
          <xdr:colOff>0</xdr:colOff>
          <xdr:row>16</xdr:row>
          <xdr:rowOff>85725</xdr:rowOff>
        </xdr:to>
        <xdr:sp macro="" textlink="">
          <xdr:nvSpPr>
            <xdr:cNvPr id="15375" name="Option Button 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57150</xdr:rowOff>
        </xdr:from>
        <xdr:to>
          <xdr:col>12</xdr:col>
          <xdr:colOff>542925</xdr:colOff>
          <xdr:row>16</xdr:row>
          <xdr:rowOff>85725</xdr:rowOff>
        </xdr:to>
        <xdr:sp macro="" textlink="">
          <xdr:nvSpPr>
            <xdr:cNvPr id="15376" name="Option Button 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15</xdr:row>
          <xdr:rowOff>57150</xdr:rowOff>
        </xdr:from>
        <xdr:to>
          <xdr:col>16</xdr:col>
          <xdr:colOff>476250</xdr:colOff>
          <xdr:row>16</xdr:row>
          <xdr:rowOff>85725</xdr:rowOff>
        </xdr:to>
        <xdr:sp macro="" textlink="">
          <xdr:nvSpPr>
            <xdr:cNvPr id="15377" name="Option Button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15</xdr:row>
          <xdr:rowOff>57150</xdr:rowOff>
        </xdr:from>
        <xdr:to>
          <xdr:col>20</xdr:col>
          <xdr:colOff>409575</xdr:colOff>
          <xdr:row>16</xdr:row>
          <xdr:rowOff>85725</xdr:rowOff>
        </xdr:to>
        <xdr:sp macro="" textlink="">
          <xdr:nvSpPr>
            <xdr:cNvPr id="15378" name="Option Button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171450</xdr:rowOff>
        </xdr:from>
        <xdr:to>
          <xdr:col>20</xdr:col>
          <xdr:colOff>590550</xdr:colOff>
          <xdr:row>21</xdr:row>
          <xdr:rowOff>19050</xdr:rowOff>
        </xdr:to>
        <xdr:sp macro="" textlink="">
          <xdr:nvSpPr>
            <xdr:cNvPr id="15379" name="Group Box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4. Diante das necessidades do mercado, implanto inovações nos produtos/serviços ofertados pelo empreendimento na minha responsabilidade ou amplio a área geográfica de atuação do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18</xdr:row>
          <xdr:rowOff>180975</xdr:rowOff>
        </xdr:from>
        <xdr:to>
          <xdr:col>5</xdr:col>
          <xdr:colOff>66675</xdr:colOff>
          <xdr:row>20</xdr:row>
          <xdr:rowOff>19050</xdr:rowOff>
        </xdr:to>
        <xdr:sp macro="" textlink="">
          <xdr:nvSpPr>
            <xdr:cNvPr id="15380" name="Option Button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18</xdr:row>
          <xdr:rowOff>180975</xdr:rowOff>
        </xdr:from>
        <xdr:to>
          <xdr:col>9</xdr:col>
          <xdr:colOff>0</xdr:colOff>
          <xdr:row>20</xdr:row>
          <xdr:rowOff>19050</xdr:rowOff>
        </xdr:to>
        <xdr:sp macro="" textlink="">
          <xdr:nvSpPr>
            <xdr:cNvPr id="15381" name="Option Button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18</xdr:row>
          <xdr:rowOff>180975</xdr:rowOff>
        </xdr:from>
        <xdr:to>
          <xdr:col>12</xdr:col>
          <xdr:colOff>542925</xdr:colOff>
          <xdr:row>20</xdr:row>
          <xdr:rowOff>19050</xdr:rowOff>
        </xdr:to>
        <xdr:sp macro="" textlink="">
          <xdr:nvSpPr>
            <xdr:cNvPr id="15382" name="Option Button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18</xdr:row>
          <xdr:rowOff>180975</xdr:rowOff>
        </xdr:from>
        <xdr:to>
          <xdr:col>16</xdr:col>
          <xdr:colOff>476250</xdr:colOff>
          <xdr:row>20</xdr:row>
          <xdr:rowOff>19050</xdr:rowOff>
        </xdr:to>
        <xdr:sp macro="" textlink="">
          <xdr:nvSpPr>
            <xdr:cNvPr id="15383" name="Option Button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18</xdr:row>
          <xdr:rowOff>180975</xdr:rowOff>
        </xdr:from>
        <xdr:to>
          <xdr:col>20</xdr:col>
          <xdr:colOff>409575</xdr:colOff>
          <xdr:row>20</xdr:row>
          <xdr:rowOff>19050</xdr:rowOff>
        </xdr:to>
        <xdr:sp macro="" textlink="">
          <xdr:nvSpPr>
            <xdr:cNvPr id="15384" name="Option Button 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104775</xdr:rowOff>
        </xdr:from>
        <xdr:to>
          <xdr:col>20</xdr:col>
          <xdr:colOff>590550</xdr:colOff>
          <xdr:row>24</xdr:row>
          <xdr:rowOff>142875</xdr:rowOff>
        </xdr:to>
        <xdr:sp macro="" textlink="">
          <xdr:nvSpPr>
            <xdr:cNvPr id="15385" name="Group Box 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5. Reconheço minha responsabilidade nas falhas e eventuais prejuízos financeiros do empreendimento e, além disso, tomo providências para corrigi-los.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22</xdr:row>
          <xdr:rowOff>114300</xdr:rowOff>
        </xdr:from>
        <xdr:to>
          <xdr:col>5</xdr:col>
          <xdr:colOff>66675</xdr:colOff>
          <xdr:row>23</xdr:row>
          <xdr:rowOff>142875</xdr:rowOff>
        </xdr:to>
        <xdr:sp macro="" textlink="">
          <xdr:nvSpPr>
            <xdr:cNvPr id="15386" name="Option Button 26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22</xdr:row>
          <xdr:rowOff>114300</xdr:rowOff>
        </xdr:from>
        <xdr:to>
          <xdr:col>9</xdr:col>
          <xdr:colOff>0</xdr:colOff>
          <xdr:row>23</xdr:row>
          <xdr:rowOff>142875</xdr:rowOff>
        </xdr:to>
        <xdr:sp macro="" textlink="">
          <xdr:nvSpPr>
            <xdr:cNvPr id="15387" name="Option Button 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114300</xdr:rowOff>
        </xdr:from>
        <xdr:to>
          <xdr:col>12</xdr:col>
          <xdr:colOff>542925</xdr:colOff>
          <xdr:row>23</xdr:row>
          <xdr:rowOff>142875</xdr:rowOff>
        </xdr:to>
        <xdr:sp macro="" textlink="">
          <xdr:nvSpPr>
            <xdr:cNvPr id="15388" name="Option Button 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22</xdr:row>
          <xdr:rowOff>114300</xdr:rowOff>
        </xdr:from>
        <xdr:to>
          <xdr:col>16</xdr:col>
          <xdr:colOff>476250</xdr:colOff>
          <xdr:row>23</xdr:row>
          <xdr:rowOff>142875</xdr:rowOff>
        </xdr:to>
        <xdr:sp macro="" textlink="">
          <xdr:nvSpPr>
            <xdr:cNvPr id="15389" name="Option Button 29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22</xdr:row>
          <xdr:rowOff>114300</xdr:rowOff>
        </xdr:from>
        <xdr:to>
          <xdr:col>20</xdr:col>
          <xdr:colOff>409575</xdr:colOff>
          <xdr:row>23</xdr:row>
          <xdr:rowOff>142875</xdr:rowOff>
        </xdr:to>
        <xdr:sp macro="" textlink="">
          <xdr:nvSpPr>
            <xdr:cNvPr id="15390" name="Option Button 30" hidden="1">
              <a:extLst>
                <a:ext uri="{63B3BB69-23CF-44E3-9099-C40C66FF867C}">
                  <a14:compatExt spid="_x0000_s15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38100</xdr:rowOff>
        </xdr:from>
        <xdr:to>
          <xdr:col>20</xdr:col>
          <xdr:colOff>590550</xdr:colOff>
          <xdr:row>28</xdr:row>
          <xdr:rowOff>76200</xdr:rowOff>
        </xdr:to>
        <xdr:sp macro="" textlink="">
          <xdr:nvSpPr>
            <xdr:cNvPr id="15391" name="Group Box 31" hidden="1">
              <a:extLst>
                <a:ext uri="{63B3BB69-23CF-44E3-9099-C40C66FF867C}">
                  <a14:compatExt spid="_x0000_s15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6. Acredito que posso ser bem sucedido em qualquer atividade que me proponho executar, mesmo sendo algo difícil ou desafiador.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26</xdr:row>
          <xdr:rowOff>47625</xdr:rowOff>
        </xdr:from>
        <xdr:to>
          <xdr:col>5</xdr:col>
          <xdr:colOff>66675</xdr:colOff>
          <xdr:row>27</xdr:row>
          <xdr:rowOff>76200</xdr:rowOff>
        </xdr:to>
        <xdr:sp macro="" textlink="">
          <xdr:nvSpPr>
            <xdr:cNvPr id="15392" name="Option Button 32" hidden="1">
              <a:extLst>
                <a:ext uri="{63B3BB69-23CF-44E3-9099-C40C66FF867C}">
                  <a14:compatExt spid="_x0000_s15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47625</xdr:rowOff>
        </xdr:from>
        <xdr:to>
          <xdr:col>9</xdr:col>
          <xdr:colOff>0</xdr:colOff>
          <xdr:row>27</xdr:row>
          <xdr:rowOff>76200</xdr:rowOff>
        </xdr:to>
        <xdr:sp macro="" textlink="">
          <xdr:nvSpPr>
            <xdr:cNvPr id="15393" name="Option Button 33" hidden="1">
              <a:extLst>
                <a:ext uri="{63B3BB69-23CF-44E3-9099-C40C66FF867C}">
                  <a14:compatExt spid="_x0000_s15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47625</xdr:rowOff>
        </xdr:from>
        <xdr:to>
          <xdr:col>12</xdr:col>
          <xdr:colOff>542925</xdr:colOff>
          <xdr:row>27</xdr:row>
          <xdr:rowOff>76200</xdr:rowOff>
        </xdr:to>
        <xdr:sp macro="" textlink="">
          <xdr:nvSpPr>
            <xdr:cNvPr id="15394" name="Option Button 34" hidden="1">
              <a:extLst>
                <a:ext uri="{63B3BB69-23CF-44E3-9099-C40C66FF867C}">
                  <a14:compatExt spid="_x0000_s15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26</xdr:row>
          <xdr:rowOff>47625</xdr:rowOff>
        </xdr:from>
        <xdr:to>
          <xdr:col>16</xdr:col>
          <xdr:colOff>476250</xdr:colOff>
          <xdr:row>27</xdr:row>
          <xdr:rowOff>76200</xdr:rowOff>
        </xdr:to>
        <xdr:sp macro="" textlink="">
          <xdr:nvSpPr>
            <xdr:cNvPr id="15395" name="Option Button 35" hidden="1">
              <a:extLst>
                <a:ext uri="{63B3BB69-23CF-44E3-9099-C40C66FF867C}">
                  <a14:compatExt spid="_x0000_s15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26</xdr:row>
          <xdr:rowOff>47625</xdr:rowOff>
        </xdr:from>
        <xdr:to>
          <xdr:col>20</xdr:col>
          <xdr:colOff>409575</xdr:colOff>
          <xdr:row>27</xdr:row>
          <xdr:rowOff>76200</xdr:rowOff>
        </xdr:to>
        <xdr:sp macro="" textlink="">
          <xdr:nvSpPr>
            <xdr:cNvPr id="15396" name="Option Button 36" hidden="1">
              <a:extLst>
                <a:ext uri="{63B3BB69-23CF-44E3-9099-C40C66FF867C}">
                  <a14:compatExt spid="_x0000_s15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133350</xdr:rowOff>
        </xdr:from>
        <xdr:to>
          <xdr:col>20</xdr:col>
          <xdr:colOff>590550</xdr:colOff>
          <xdr:row>31</xdr:row>
          <xdr:rowOff>171450</xdr:rowOff>
        </xdr:to>
        <xdr:sp macro="" textlink="">
          <xdr:nvSpPr>
            <xdr:cNvPr id="15397" name="Group Box 37" hidden="1">
              <a:extLst>
                <a:ext uri="{63B3BB69-23CF-44E3-9099-C40C66FF867C}">
                  <a14:compatExt spid="_x0000_s15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7. Meu rendimento no trabalho é bastante eficaz, pois faço as coisas de acordo com o estabelecido, dando ênfase à otimização do tempo.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29</xdr:row>
          <xdr:rowOff>142875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5398" name="Option Button 38" hidden="1">
              <a:extLst>
                <a:ext uri="{63B3BB69-23CF-44E3-9099-C40C66FF867C}">
                  <a14:compatExt spid="_x0000_s15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29</xdr:row>
          <xdr:rowOff>142875</xdr:rowOff>
        </xdr:from>
        <xdr:to>
          <xdr:col>9</xdr:col>
          <xdr:colOff>0</xdr:colOff>
          <xdr:row>30</xdr:row>
          <xdr:rowOff>171450</xdr:rowOff>
        </xdr:to>
        <xdr:sp macro="" textlink="">
          <xdr:nvSpPr>
            <xdr:cNvPr id="15399" name="Option Button 39" hidden="1">
              <a:extLst>
                <a:ext uri="{63B3BB69-23CF-44E3-9099-C40C66FF867C}">
                  <a14:compatExt spid="_x0000_s15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142875</xdr:rowOff>
        </xdr:from>
        <xdr:to>
          <xdr:col>12</xdr:col>
          <xdr:colOff>542925</xdr:colOff>
          <xdr:row>30</xdr:row>
          <xdr:rowOff>171450</xdr:rowOff>
        </xdr:to>
        <xdr:sp macro="" textlink="">
          <xdr:nvSpPr>
            <xdr:cNvPr id="15400" name="Option Button 40" hidden="1">
              <a:extLst>
                <a:ext uri="{63B3BB69-23CF-44E3-9099-C40C66FF867C}">
                  <a14:compatExt spid="_x0000_s15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29</xdr:row>
          <xdr:rowOff>142875</xdr:rowOff>
        </xdr:from>
        <xdr:to>
          <xdr:col>16</xdr:col>
          <xdr:colOff>476250</xdr:colOff>
          <xdr:row>30</xdr:row>
          <xdr:rowOff>171450</xdr:rowOff>
        </xdr:to>
        <xdr:sp macro="" textlink="">
          <xdr:nvSpPr>
            <xdr:cNvPr id="15401" name="Option Button 41" hidden="1">
              <a:extLst>
                <a:ext uri="{63B3BB69-23CF-44E3-9099-C40C66FF867C}">
                  <a14:compatExt spid="_x0000_s15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29</xdr:row>
          <xdr:rowOff>142875</xdr:rowOff>
        </xdr:from>
        <xdr:to>
          <xdr:col>20</xdr:col>
          <xdr:colOff>409575</xdr:colOff>
          <xdr:row>30</xdr:row>
          <xdr:rowOff>171450</xdr:rowOff>
        </xdr:to>
        <xdr:sp macro="" textlink="">
          <xdr:nvSpPr>
            <xdr:cNvPr id="15402" name="Option Button 42" hidden="1">
              <a:extLst>
                <a:ext uri="{63B3BB69-23CF-44E3-9099-C40C66FF867C}">
                  <a14:compatExt spid="_x0000_s15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66675</xdr:rowOff>
        </xdr:from>
        <xdr:to>
          <xdr:col>20</xdr:col>
          <xdr:colOff>590550</xdr:colOff>
          <xdr:row>35</xdr:row>
          <xdr:rowOff>104775</xdr:rowOff>
        </xdr:to>
        <xdr:sp macro="" textlink="">
          <xdr:nvSpPr>
            <xdr:cNvPr id="15403" name="Group Box 43" hidden="1">
              <a:extLst>
                <a:ext uri="{63B3BB69-23CF-44E3-9099-C40C66FF867C}">
                  <a14:compatExt spid="_x0000_s15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8. Não acredito que a minha opinião seja mais importante do que de outras pessoas sobre o que eu faço e a maneira como faço.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33</xdr:row>
          <xdr:rowOff>76200</xdr:rowOff>
        </xdr:from>
        <xdr:to>
          <xdr:col>5</xdr:col>
          <xdr:colOff>66675</xdr:colOff>
          <xdr:row>34</xdr:row>
          <xdr:rowOff>104775</xdr:rowOff>
        </xdr:to>
        <xdr:sp macro="" textlink="">
          <xdr:nvSpPr>
            <xdr:cNvPr id="15404" name="Option Button 44" hidden="1">
              <a:extLst>
                <a:ext uri="{63B3BB69-23CF-44E3-9099-C40C66FF867C}">
                  <a14:compatExt spid="_x0000_s15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33</xdr:row>
          <xdr:rowOff>76200</xdr:rowOff>
        </xdr:from>
        <xdr:to>
          <xdr:col>9</xdr:col>
          <xdr:colOff>0</xdr:colOff>
          <xdr:row>34</xdr:row>
          <xdr:rowOff>104775</xdr:rowOff>
        </xdr:to>
        <xdr:sp macro="" textlink="">
          <xdr:nvSpPr>
            <xdr:cNvPr id="15405" name="Option Button 45" hidden="1">
              <a:extLst>
                <a:ext uri="{63B3BB69-23CF-44E3-9099-C40C66FF867C}">
                  <a14:compatExt spid="_x0000_s15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76200</xdr:rowOff>
        </xdr:from>
        <xdr:to>
          <xdr:col>12</xdr:col>
          <xdr:colOff>542925</xdr:colOff>
          <xdr:row>34</xdr:row>
          <xdr:rowOff>104775</xdr:rowOff>
        </xdr:to>
        <xdr:sp macro="" textlink="">
          <xdr:nvSpPr>
            <xdr:cNvPr id="15406" name="Option Button 46" hidden="1">
              <a:extLst>
                <a:ext uri="{63B3BB69-23CF-44E3-9099-C40C66FF867C}">
                  <a14:compatExt spid="_x0000_s15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33</xdr:row>
          <xdr:rowOff>76200</xdr:rowOff>
        </xdr:from>
        <xdr:to>
          <xdr:col>16</xdr:col>
          <xdr:colOff>476250</xdr:colOff>
          <xdr:row>34</xdr:row>
          <xdr:rowOff>104775</xdr:rowOff>
        </xdr:to>
        <xdr:sp macro="" textlink="">
          <xdr:nvSpPr>
            <xdr:cNvPr id="15407" name="Option Button 47" hidden="1">
              <a:extLst>
                <a:ext uri="{63B3BB69-23CF-44E3-9099-C40C66FF867C}">
                  <a14:compatExt spid="_x0000_s15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33</xdr:row>
          <xdr:rowOff>76200</xdr:rowOff>
        </xdr:from>
        <xdr:to>
          <xdr:col>20</xdr:col>
          <xdr:colOff>409575</xdr:colOff>
          <xdr:row>34</xdr:row>
          <xdr:rowOff>104775</xdr:rowOff>
        </xdr:to>
        <xdr:sp macro="" textlink="">
          <xdr:nvSpPr>
            <xdr:cNvPr id="15408" name="Option Button 48" hidden="1">
              <a:extLst>
                <a:ext uri="{63B3BB69-23CF-44E3-9099-C40C66FF867C}">
                  <a14:compatExt spid="_x0000_s15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0</xdr:rowOff>
        </xdr:from>
        <xdr:to>
          <xdr:col>20</xdr:col>
          <xdr:colOff>590550</xdr:colOff>
          <xdr:row>39</xdr:row>
          <xdr:rowOff>38100</xdr:rowOff>
        </xdr:to>
        <xdr:sp macro="" textlink="">
          <xdr:nvSpPr>
            <xdr:cNvPr id="15409" name="Group Box 49" hidden="1">
              <a:extLst>
                <a:ext uri="{63B3BB69-23CF-44E3-9099-C40C66FF867C}">
                  <a14:compatExt spid="_x0000_s15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9.Executo minhas atividades e supervisiono as atividades dos funcionários no dia a dia do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37</xdr:row>
          <xdr:rowOff>9525</xdr:rowOff>
        </xdr:from>
        <xdr:to>
          <xdr:col>5</xdr:col>
          <xdr:colOff>66675</xdr:colOff>
          <xdr:row>38</xdr:row>
          <xdr:rowOff>38100</xdr:rowOff>
        </xdr:to>
        <xdr:sp macro="" textlink="">
          <xdr:nvSpPr>
            <xdr:cNvPr id="15410" name="Option Button 50" hidden="1">
              <a:extLst>
                <a:ext uri="{63B3BB69-23CF-44E3-9099-C40C66FF867C}">
                  <a14:compatExt spid="_x0000_s15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37</xdr:row>
          <xdr:rowOff>9525</xdr:rowOff>
        </xdr:from>
        <xdr:to>
          <xdr:col>9</xdr:col>
          <xdr:colOff>0</xdr:colOff>
          <xdr:row>38</xdr:row>
          <xdr:rowOff>38100</xdr:rowOff>
        </xdr:to>
        <xdr:sp macro="" textlink="">
          <xdr:nvSpPr>
            <xdr:cNvPr id="15411" name="Option Button 51" hidden="1">
              <a:extLst>
                <a:ext uri="{63B3BB69-23CF-44E3-9099-C40C66FF867C}">
                  <a14:compatExt spid="_x0000_s15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9525</xdr:rowOff>
        </xdr:from>
        <xdr:to>
          <xdr:col>12</xdr:col>
          <xdr:colOff>542925</xdr:colOff>
          <xdr:row>38</xdr:row>
          <xdr:rowOff>38100</xdr:rowOff>
        </xdr:to>
        <xdr:sp macro="" textlink="">
          <xdr:nvSpPr>
            <xdr:cNvPr id="15412" name="Option Button 52" hidden="1">
              <a:extLst>
                <a:ext uri="{63B3BB69-23CF-44E3-9099-C40C66FF867C}">
                  <a14:compatExt spid="_x0000_s15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37</xdr:row>
          <xdr:rowOff>9525</xdr:rowOff>
        </xdr:from>
        <xdr:to>
          <xdr:col>16</xdr:col>
          <xdr:colOff>476250</xdr:colOff>
          <xdr:row>38</xdr:row>
          <xdr:rowOff>38100</xdr:rowOff>
        </xdr:to>
        <xdr:sp macro="" textlink="">
          <xdr:nvSpPr>
            <xdr:cNvPr id="15413" name="Option Button 53" hidden="1">
              <a:extLst>
                <a:ext uri="{63B3BB69-23CF-44E3-9099-C40C66FF867C}">
                  <a14:compatExt spid="_x0000_s15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37</xdr:row>
          <xdr:rowOff>9525</xdr:rowOff>
        </xdr:from>
        <xdr:to>
          <xdr:col>20</xdr:col>
          <xdr:colOff>409575</xdr:colOff>
          <xdr:row>38</xdr:row>
          <xdr:rowOff>38100</xdr:rowOff>
        </xdr:to>
        <xdr:sp macro="" textlink="">
          <xdr:nvSpPr>
            <xdr:cNvPr id="15414" name="Option Button 54" hidden="1">
              <a:extLst>
                <a:ext uri="{63B3BB69-23CF-44E3-9099-C40C66FF867C}">
                  <a14:compatExt spid="_x0000_s15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123825</xdr:rowOff>
        </xdr:from>
        <xdr:to>
          <xdr:col>20</xdr:col>
          <xdr:colOff>590550</xdr:colOff>
          <xdr:row>42</xdr:row>
          <xdr:rowOff>161925</xdr:rowOff>
        </xdr:to>
        <xdr:sp macro="" textlink="">
          <xdr:nvSpPr>
            <xdr:cNvPr id="15415" name="Group Box 55" hidden="1">
              <a:extLst>
                <a:ext uri="{63B3BB69-23CF-44E3-9099-C40C66FF867C}">
                  <a14:compatExt spid="_x0000_s15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10. Adoto como parâmetro nas negociações, o ditado: "quem não arrisca, não petisca".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40</xdr:row>
          <xdr:rowOff>133350</xdr:rowOff>
        </xdr:from>
        <xdr:to>
          <xdr:col>5</xdr:col>
          <xdr:colOff>66675</xdr:colOff>
          <xdr:row>41</xdr:row>
          <xdr:rowOff>161925</xdr:rowOff>
        </xdr:to>
        <xdr:sp macro="" textlink="">
          <xdr:nvSpPr>
            <xdr:cNvPr id="15416" name="Option Button 56" hidden="1">
              <a:extLst>
                <a:ext uri="{63B3BB69-23CF-44E3-9099-C40C66FF867C}">
                  <a14:compatExt spid="_x0000_s15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40</xdr:row>
          <xdr:rowOff>133350</xdr:rowOff>
        </xdr:from>
        <xdr:to>
          <xdr:col>9</xdr:col>
          <xdr:colOff>0</xdr:colOff>
          <xdr:row>41</xdr:row>
          <xdr:rowOff>161925</xdr:rowOff>
        </xdr:to>
        <xdr:sp macro="" textlink="">
          <xdr:nvSpPr>
            <xdr:cNvPr id="15417" name="Option Button 57" hidden="1">
              <a:extLst>
                <a:ext uri="{63B3BB69-23CF-44E3-9099-C40C66FF867C}">
                  <a14:compatExt spid="_x0000_s15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133350</xdr:rowOff>
        </xdr:from>
        <xdr:to>
          <xdr:col>12</xdr:col>
          <xdr:colOff>542925</xdr:colOff>
          <xdr:row>41</xdr:row>
          <xdr:rowOff>161925</xdr:rowOff>
        </xdr:to>
        <xdr:sp macro="" textlink="">
          <xdr:nvSpPr>
            <xdr:cNvPr id="15418" name="Option Button 58" hidden="1">
              <a:extLst>
                <a:ext uri="{63B3BB69-23CF-44E3-9099-C40C66FF867C}">
                  <a14:compatExt spid="_x0000_s15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40</xdr:row>
          <xdr:rowOff>133350</xdr:rowOff>
        </xdr:from>
        <xdr:to>
          <xdr:col>16</xdr:col>
          <xdr:colOff>476250</xdr:colOff>
          <xdr:row>41</xdr:row>
          <xdr:rowOff>161925</xdr:rowOff>
        </xdr:to>
        <xdr:sp macro="" textlink="">
          <xdr:nvSpPr>
            <xdr:cNvPr id="15419" name="Option Button 59" hidden="1">
              <a:extLst>
                <a:ext uri="{63B3BB69-23CF-44E3-9099-C40C66FF867C}">
                  <a14:compatExt spid="_x0000_s15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40</xdr:row>
          <xdr:rowOff>133350</xdr:rowOff>
        </xdr:from>
        <xdr:to>
          <xdr:col>20</xdr:col>
          <xdr:colOff>409575</xdr:colOff>
          <xdr:row>41</xdr:row>
          <xdr:rowOff>161925</xdr:rowOff>
        </xdr:to>
        <xdr:sp macro="" textlink="">
          <xdr:nvSpPr>
            <xdr:cNvPr id="15420" name="Option Button 60" hidden="1">
              <a:extLst>
                <a:ext uri="{63B3BB69-23CF-44E3-9099-C40C66FF867C}">
                  <a14:compatExt spid="_x0000_s15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57150</xdr:rowOff>
        </xdr:from>
        <xdr:to>
          <xdr:col>20</xdr:col>
          <xdr:colOff>590550</xdr:colOff>
          <xdr:row>46</xdr:row>
          <xdr:rowOff>95250</xdr:rowOff>
        </xdr:to>
        <xdr:sp macro="" textlink="">
          <xdr:nvSpPr>
            <xdr:cNvPr id="15421" name="Group Box 61" hidden="1">
              <a:extLst>
                <a:ext uri="{63B3BB69-23CF-44E3-9099-C40C66FF867C}">
                  <a14:compatExt spid="_x0000_s15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11. Busco toda e qualquer informação disponível no mercado para utilizar no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44</xdr:row>
          <xdr:rowOff>66675</xdr:rowOff>
        </xdr:from>
        <xdr:to>
          <xdr:col>5</xdr:col>
          <xdr:colOff>66675</xdr:colOff>
          <xdr:row>45</xdr:row>
          <xdr:rowOff>95250</xdr:rowOff>
        </xdr:to>
        <xdr:sp macro="" textlink="">
          <xdr:nvSpPr>
            <xdr:cNvPr id="15422" name="Option Button 62" hidden="1">
              <a:extLst>
                <a:ext uri="{63B3BB69-23CF-44E3-9099-C40C66FF867C}">
                  <a14:compatExt spid="_x0000_s15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44</xdr:row>
          <xdr:rowOff>66675</xdr:rowOff>
        </xdr:from>
        <xdr:to>
          <xdr:col>9</xdr:col>
          <xdr:colOff>0</xdr:colOff>
          <xdr:row>45</xdr:row>
          <xdr:rowOff>95250</xdr:rowOff>
        </xdr:to>
        <xdr:sp macro="" textlink="">
          <xdr:nvSpPr>
            <xdr:cNvPr id="15423" name="Option Button 63" hidden="1">
              <a:extLst>
                <a:ext uri="{63B3BB69-23CF-44E3-9099-C40C66FF867C}">
                  <a14:compatExt spid="_x0000_s15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44</xdr:row>
          <xdr:rowOff>66675</xdr:rowOff>
        </xdr:from>
        <xdr:to>
          <xdr:col>12</xdr:col>
          <xdr:colOff>542925</xdr:colOff>
          <xdr:row>45</xdr:row>
          <xdr:rowOff>95250</xdr:rowOff>
        </xdr:to>
        <xdr:sp macro="" textlink="">
          <xdr:nvSpPr>
            <xdr:cNvPr id="15424" name="Option Button 64" hidden="1">
              <a:extLst>
                <a:ext uri="{63B3BB69-23CF-44E3-9099-C40C66FF867C}">
                  <a14:compatExt spid="_x0000_s15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44</xdr:row>
          <xdr:rowOff>66675</xdr:rowOff>
        </xdr:from>
        <xdr:to>
          <xdr:col>16</xdr:col>
          <xdr:colOff>476250</xdr:colOff>
          <xdr:row>45</xdr:row>
          <xdr:rowOff>95250</xdr:rowOff>
        </xdr:to>
        <xdr:sp macro="" textlink="">
          <xdr:nvSpPr>
            <xdr:cNvPr id="15425" name="Option Button 65" hidden="1">
              <a:extLst>
                <a:ext uri="{63B3BB69-23CF-44E3-9099-C40C66FF867C}">
                  <a14:compatExt spid="_x0000_s15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44</xdr:row>
          <xdr:rowOff>66675</xdr:rowOff>
        </xdr:from>
        <xdr:to>
          <xdr:col>20</xdr:col>
          <xdr:colOff>409575</xdr:colOff>
          <xdr:row>45</xdr:row>
          <xdr:rowOff>95250</xdr:rowOff>
        </xdr:to>
        <xdr:sp macro="" textlink="">
          <xdr:nvSpPr>
            <xdr:cNvPr id="15426" name="Option Button 66" hidden="1">
              <a:extLst>
                <a:ext uri="{63B3BB69-23CF-44E3-9099-C40C66FF867C}">
                  <a14:compatExt spid="_x0000_s15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180975</xdr:rowOff>
        </xdr:from>
        <xdr:to>
          <xdr:col>20</xdr:col>
          <xdr:colOff>590550</xdr:colOff>
          <xdr:row>50</xdr:row>
          <xdr:rowOff>28575</xdr:rowOff>
        </xdr:to>
        <xdr:sp macro="" textlink="">
          <xdr:nvSpPr>
            <xdr:cNvPr id="15427" name="Group Box 67" hidden="1">
              <a:extLst>
                <a:ext uri="{63B3BB69-23CF-44E3-9099-C40C66FF867C}">
                  <a14:compatExt spid="_x0000_s15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12. Sei, de forma clara, o que quero alcançar no horizonte de médio e longo prazos e estabeleço parâmetros que permitam pedir e avaliar o meu desempenho.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48</xdr:row>
          <xdr:rowOff>0</xdr:rowOff>
        </xdr:from>
        <xdr:to>
          <xdr:col>5</xdr:col>
          <xdr:colOff>66675</xdr:colOff>
          <xdr:row>49</xdr:row>
          <xdr:rowOff>28575</xdr:rowOff>
        </xdr:to>
        <xdr:sp macro="" textlink="">
          <xdr:nvSpPr>
            <xdr:cNvPr id="15428" name="Option Button 68" hidden="1">
              <a:extLst>
                <a:ext uri="{63B3BB69-23CF-44E3-9099-C40C66FF867C}">
                  <a14:compatExt spid="_x0000_s15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48</xdr:row>
          <xdr:rowOff>0</xdr:rowOff>
        </xdr:from>
        <xdr:to>
          <xdr:col>9</xdr:col>
          <xdr:colOff>0</xdr:colOff>
          <xdr:row>49</xdr:row>
          <xdr:rowOff>28575</xdr:rowOff>
        </xdr:to>
        <xdr:sp macro="" textlink="">
          <xdr:nvSpPr>
            <xdr:cNvPr id="15429" name="Option Button 69" hidden="1">
              <a:extLst>
                <a:ext uri="{63B3BB69-23CF-44E3-9099-C40C66FF867C}">
                  <a14:compatExt spid="_x0000_s15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48</xdr:row>
          <xdr:rowOff>0</xdr:rowOff>
        </xdr:from>
        <xdr:to>
          <xdr:col>12</xdr:col>
          <xdr:colOff>542925</xdr:colOff>
          <xdr:row>49</xdr:row>
          <xdr:rowOff>28575</xdr:rowOff>
        </xdr:to>
        <xdr:sp macro="" textlink="">
          <xdr:nvSpPr>
            <xdr:cNvPr id="15430" name="Option Button 70" hidden="1">
              <a:extLst>
                <a:ext uri="{63B3BB69-23CF-44E3-9099-C40C66FF867C}">
                  <a14:compatExt spid="_x0000_s15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48</xdr:row>
          <xdr:rowOff>0</xdr:rowOff>
        </xdr:from>
        <xdr:to>
          <xdr:col>16</xdr:col>
          <xdr:colOff>476250</xdr:colOff>
          <xdr:row>49</xdr:row>
          <xdr:rowOff>28575</xdr:rowOff>
        </xdr:to>
        <xdr:sp macro="" textlink="">
          <xdr:nvSpPr>
            <xdr:cNvPr id="15431" name="Option Button 71" hidden="1">
              <a:extLst>
                <a:ext uri="{63B3BB69-23CF-44E3-9099-C40C66FF867C}">
                  <a14:compatExt spid="_x0000_s15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48</xdr:row>
          <xdr:rowOff>0</xdr:rowOff>
        </xdr:from>
        <xdr:to>
          <xdr:col>20</xdr:col>
          <xdr:colOff>409575</xdr:colOff>
          <xdr:row>49</xdr:row>
          <xdr:rowOff>28575</xdr:rowOff>
        </xdr:to>
        <xdr:sp macro="" textlink="">
          <xdr:nvSpPr>
            <xdr:cNvPr id="15432" name="Option Button 72" hidden="1">
              <a:extLst>
                <a:ext uri="{63B3BB69-23CF-44E3-9099-C40C66FF867C}">
                  <a14:compatExt spid="_x0000_s15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114300</xdr:rowOff>
        </xdr:from>
        <xdr:to>
          <xdr:col>20</xdr:col>
          <xdr:colOff>590550</xdr:colOff>
          <xdr:row>53</xdr:row>
          <xdr:rowOff>152400</xdr:rowOff>
        </xdr:to>
        <xdr:sp macro="" textlink="">
          <xdr:nvSpPr>
            <xdr:cNvPr id="15433" name="Group Box 73" hidden="1">
              <a:extLst>
                <a:ext uri="{63B3BB69-23CF-44E3-9099-C40C66FF867C}">
                  <a14:compatExt spid="_x0000_s15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13. Faço as coisas preocupando-me com meus clientes, pois eles sempre têm razão e estão acima de qualquer coisa.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51</xdr:row>
          <xdr:rowOff>123825</xdr:rowOff>
        </xdr:from>
        <xdr:to>
          <xdr:col>5</xdr:col>
          <xdr:colOff>66675</xdr:colOff>
          <xdr:row>52</xdr:row>
          <xdr:rowOff>152400</xdr:rowOff>
        </xdr:to>
        <xdr:sp macro="" textlink="">
          <xdr:nvSpPr>
            <xdr:cNvPr id="15434" name="Option Button 74" hidden="1">
              <a:extLst>
                <a:ext uri="{63B3BB69-23CF-44E3-9099-C40C66FF867C}">
                  <a14:compatExt spid="_x0000_s15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51</xdr:row>
          <xdr:rowOff>123825</xdr:rowOff>
        </xdr:from>
        <xdr:to>
          <xdr:col>9</xdr:col>
          <xdr:colOff>0</xdr:colOff>
          <xdr:row>52</xdr:row>
          <xdr:rowOff>152400</xdr:rowOff>
        </xdr:to>
        <xdr:sp macro="" textlink="">
          <xdr:nvSpPr>
            <xdr:cNvPr id="15435" name="Option Button 75" hidden="1">
              <a:extLst>
                <a:ext uri="{63B3BB69-23CF-44E3-9099-C40C66FF867C}">
                  <a14:compatExt spid="_x0000_s15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51</xdr:row>
          <xdr:rowOff>123825</xdr:rowOff>
        </xdr:from>
        <xdr:to>
          <xdr:col>12</xdr:col>
          <xdr:colOff>542925</xdr:colOff>
          <xdr:row>52</xdr:row>
          <xdr:rowOff>152400</xdr:rowOff>
        </xdr:to>
        <xdr:sp macro="" textlink="">
          <xdr:nvSpPr>
            <xdr:cNvPr id="15436" name="Option Button 76" hidden="1">
              <a:extLst>
                <a:ext uri="{63B3BB69-23CF-44E3-9099-C40C66FF867C}">
                  <a14:compatExt spid="_x0000_s15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51</xdr:row>
          <xdr:rowOff>123825</xdr:rowOff>
        </xdr:from>
        <xdr:to>
          <xdr:col>16</xdr:col>
          <xdr:colOff>476250</xdr:colOff>
          <xdr:row>52</xdr:row>
          <xdr:rowOff>152400</xdr:rowOff>
        </xdr:to>
        <xdr:sp macro="" textlink="">
          <xdr:nvSpPr>
            <xdr:cNvPr id="15437" name="Option Button 77" hidden="1">
              <a:extLst>
                <a:ext uri="{63B3BB69-23CF-44E3-9099-C40C66FF867C}">
                  <a14:compatExt spid="_x0000_s15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51</xdr:row>
          <xdr:rowOff>123825</xdr:rowOff>
        </xdr:from>
        <xdr:to>
          <xdr:col>20</xdr:col>
          <xdr:colOff>409575</xdr:colOff>
          <xdr:row>52</xdr:row>
          <xdr:rowOff>152400</xdr:rowOff>
        </xdr:to>
        <xdr:sp macro="" textlink="">
          <xdr:nvSpPr>
            <xdr:cNvPr id="15438" name="Option Button 78" hidden="1">
              <a:extLst>
                <a:ext uri="{63B3BB69-23CF-44E3-9099-C40C66FF867C}">
                  <a14:compatExt spid="_x0000_s15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47625</xdr:rowOff>
        </xdr:from>
        <xdr:to>
          <xdr:col>20</xdr:col>
          <xdr:colOff>590550</xdr:colOff>
          <xdr:row>57</xdr:row>
          <xdr:rowOff>85725</xdr:rowOff>
        </xdr:to>
        <xdr:sp macro="" textlink="">
          <xdr:nvSpPr>
            <xdr:cNvPr id="15439" name="Group Box 79" hidden="1">
              <a:extLst>
                <a:ext uri="{63B3BB69-23CF-44E3-9099-C40C66FF867C}">
                  <a14:compatExt spid="_x0000_s15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14. Não é comum definir, a cada dia, o percentual de lucro que quero obter com 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55</xdr:row>
          <xdr:rowOff>57150</xdr:rowOff>
        </xdr:from>
        <xdr:to>
          <xdr:col>5</xdr:col>
          <xdr:colOff>66675</xdr:colOff>
          <xdr:row>56</xdr:row>
          <xdr:rowOff>85725</xdr:rowOff>
        </xdr:to>
        <xdr:sp macro="" textlink="">
          <xdr:nvSpPr>
            <xdr:cNvPr id="15440" name="Option Button 80" hidden="1">
              <a:extLst>
                <a:ext uri="{63B3BB69-23CF-44E3-9099-C40C66FF867C}">
                  <a14:compatExt spid="_x0000_s15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55</xdr:row>
          <xdr:rowOff>57150</xdr:rowOff>
        </xdr:from>
        <xdr:to>
          <xdr:col>9</xdr:col>
          <xdr:colOff>0</xdr:colOff>
          <xdr:row>56</xdr:row>
          <xdr:rowOff>85725</xdr:rowOff>
        </xdr:to>
        <xdr:sp macro="" textlink="">
          <xdr:nvSpPr>
            <xdr:cNvPr id="15441" name="Option Button 81" hidden="1">
              <a:extLst>
                <a:ext uri="{63B3BB69-23CF-44E3-9099-C40C66FF867C}">
                  <a14:compatExt spid="_x0000_s15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55</xdr:row>
          <xdr:rowOff>57150</xdr:rowOff>
        </xdr:from>
        <xdr:to>
          <xdr:col>12</xdr:col>
          <xdr:colOff>542925</xdr:colOff>
          <xdr:row>56</xdr:row>
          <xdr:rowOff>85725</xdr:rowOff>
        </xdr:to>
        <xdr:sp macro="" textlink="">
          <xdr:nvSpPr>
            <xdr:cNvPr id="15442" name="Option Button 82" hidden="1">
              <a:extLst>
                <a:ext uri="{63B3BB69-23CF-44E3-9099-C40C66FF867C}">
                  <a14:compatExt spid="_x0000_s15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55</xdr:row>
          <xdr:rowOff>57150</xdr:rowOff>
        </xdr:from>
        <xdr:to>
          <xdr:col>16</xdr:col>
          <xdr:colOff>476250</xdr:colOff>
          <xdr:row>56</xdr:row>
          <xdr:rowOff>85725</xdr:rowOff>
        </xdr:to>
        <xdr:sp macro="" textlink="">
          <xdr:nvSpPr>
            <xdr:cNvPr id="15443" name="Option Button 83" hidden="1">
              <a:extLst>
                <a:ext uri="{63B3BB69-23CF-44E3-9099-C40C66FF867C}">
                  <a14:compatExt spid="_x0000_s15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55</xdr:row>
          <xdr:rowOff>57150</xdr:rowOff>
        </xdr:from>
        <xdr:to>
          <xdr:col>20</xdr:col>
          <xdr:colOff>409575</xdr:colOff>
          <xdr:row>56</xdr:row>
          <xdr:rowOff>85725</xdr:rowOff>
        </xdr:to>
        <xdr:sp macro="" textlink="">
          <xdr:nvSpPr>
            <xdr:cNvPr id="15444" name="Option Button 84" hidden="1">
              <a:extLst>
                <a:ext uri="{63B3BB69-23CF-44E3-9099-C40C66FF867C}">
                  <a14:compatExt spid="_x0000_s15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171450</xdr:rowOff>
        </xdr:from>
        <xdr:to>
          <xdr:col>20</xdr:col>
          <xdr:colOff>590550</xdr:colOff>
          <xdr:row>61</xdr:row>
          <xdr:rowOff>19050</xdr:rowOff>
        </xdr:to>
        <xdr:sp macro="" textlink="">
          <xdr:nvSpPr>
            <xdr:cNvPr id="15445" name="Group Box 85" hidden="1">
              <a:extLst>
                <a:ext uri="{63B3BB69-23CF-44E3-9099-C40C66FF867C}">
                  <a14:compatExt spid="_x0000_s15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15. Quando tenho um projeto de grande porte, divido-o em tarefas mais simples, com prazos estabelecidos antecipadamente.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58</xdr:row>
          <xdr:rowOff>180975</xdr:rowOff>
        </xdr:from>
        <xdr:to>
          <xdr:col>5</xdr:col>
          <xdr:colOff>66675</xdr:colOff>
          <xdr:row>60</xdr:row>
          <xdr:rowOff>19050</xdr:rowOff>
        </xdr:to>
        <xdr:sp macro="" textlink="">
          <xdr:nvSpPr>
            <xdr:cNvPr id="15446" name="Option Button 86" hidden="1">
              <a:extLst>
                <a:ext uri="{63B3BB69-23CF-44E3-9099-C40C66FF867C}">
                  <a14:compatExt spid="_x0000_s15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58</xdr:row>
          <xdr:rowOff>180975</xdr:rowOff>
        </xdr:from>
        <xdr:to>
          <xdr:col>9</xdr:col>
          <xdr:colOff>0</xdr:colOff>
          <xdr:row>60</xdr:row>
          <xdr:rowOff>19050</xdr:rowOff>
        </xdr:to>
        <xdr:sp macro="" textlink="">
          <xdr:nvSpPr>
            <xdr:cNvPr id="15447" name="Option Button 87" hidden="1">
              <a:extLst>
                <a:ext uri="{63B3BB69-23CF-44E3-9099-C40C66FF867C}">
                  <a14:compatExt spid="_x0000_s15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58</xdr:row>
          <xdr:rowOff>180975</xdr:rowOff>
        </xdr:from>
        <xdr:to>
          <xdr:col>12</xdr:col>
          <xdr:colOff>542925</xdr:colOff>
          <xdr:row>60</xdr:row>
          <xdr:rowOff>19050</xdr:rowOff>
        </xdr:to>
        <xdr:sp macro="" textlink="">
          <xdr:nvSpPr>
            <xdr:cNvPr id="15448" name="Option Button 88" hidden="1">
              <a:extLst>
                <a:ext uri="{63B3BB69-23CF-44E3-9099-C40C66FF867C}">
                  <a14:compatExt spid="_x0000_s15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58</xdr:row>
          <xdr:rowOff>180975</xdr:rowOff>
        </xdr:from>
        <xdr:to>
          <xdr:col>16</xdr:col>
          <xdr:colOff>476250</xdr:colOff>
          <xdr:row>60</xdr:row>
          <xdr:rowOff>19050</xdr:rowOff>
        </xdr:to>
        <xdr:sp macro="" textlink="">
          <xdr:nvSpPr>
            <xdr:cNvPr id="15449" name="Option Button 89" hidden="1">
              <a:extLst>
                <a:ext uri="{63B3BB69-23CF-44E3-9099-C40C66FF867C}">
                  <a14:compatExt spid="_x0000_s15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58</xdr:row>
          <xdr:rowOff>180975</xdr:rowOff>
        </xdr:from>
        <xdr:to>
          <xdr:col>20</xdr:col>
          <xdr:colOff>409575</xdr:colOff>
          <xdr:row>60</xdr:row>
          <xdr:rowOff>19050</xdr:rowOff>
        </xdr:to>
        <xdr:sp macro="" textlink="">
          <xdr:nvSpPr>
            <xdr:cNvPr id="15450" name="Option Button 90" hidden="1">
              <a:extLst>
                <a:ext uri="{63B3BB69-23CF-44E3-9099-C40C66FF867C}">
                  <a14:compatExt spid="_x0000_s15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104775</xdr:rowOff>
        </xdr:from>
        <xdr:to>
          <xdr:col>20</xdr:col>
          <xdr:colOff>590550</xdr:colOff>
          <xdr:row>64</xdr:row>
          <xdr:rowOff>142875</xdr:rowOff>
        </xdr:to>
        <xdr:sp macro="" textlink="">
          <xdr:nvSpPr>
            <xdr:cNvPr id="15451" name="Group Box 91" hidden="1">
              <a:extLst>
                <a:ext uri="{63B3BB69-23CF-44E3-9099-C40C66FF867C}">
                  <a14:compatExt spid="_x0000_s15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16. Mesmo que eu já esteja obtendo bons resultados no empreendimento, encontro formas de melhorar o que faço (agilidade, custos, qualidade).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62</xdr:row>
          <xdr:rowOff>114300</xdr:rowOff>
        </xdr:from>
        <xdr:to>
          <xdr:col>5</xdr:col>
          <xdr:colOff>66675</xdr:colOff>
          <xdr:row>63</xdr:row>
          <xdr:rowOff>142875</xdr:rowOff>
        </xdr:to>
        <xdr:sp macro="" textlink="">
          <xdr:nvSpPr>
            <xdr:cNvPr id="15452" name="Option Button 92" hidden="1">
              <a:extLst>
                <a:ext uri="{63B3BB69-23CF-44E3-9099-C40C66FF867C}">
                  <a14:compatExt spid="_x0000_s15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62</xdr:row>
          <xdr:rowOff>114300</xdr:rowOff>
        </xdr:from>
        <xdr:to>
          <xdr:col>9</xdr:col>
          <xdr:colOff>0</xdr:colOff>
          <xdr:row>63</xdr:row>
          <xdr:rowOff>142875</xdr:rowOff>
        </xdr:to>
        <xdr:sp macro="" textlink="">
          <xdr:nvSpPr>
            <xdr:cNvPr id="15453" name="Option Button 93" hidden="1">
              <a:extLst>
                <a:ext uri="{63B3BB69-23CF-44E3-9099-C40C66FF867C}">
                  <a14:compatExt spid="_x0000_s15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62</xdr:row>
          <xdr:rowOff>114300</xdr:rowOff>
        </xdr:from>
        <xdr:to>
          <xdr:col>12</xdr:col>
          <xdr:colOff>542925</xdr:colOff>
          <xdr:row>63</xdr:row>
          <xdr:rowOff>142875</xdr:rowOff>
        </xdr:to>
        <xdr:sp macro="" textlink="">
          <xdr:nvSpPr>
            <xdr:cNvPr id="15454" name="Option Button 94" hidden="1">
              <a:extLst>
                <a:ext uri="{63B3BB69-23CF-44E3-9099-C40C66FF867C}">
                  <a14:compatExt spid="_x0000_s15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62</xdr:row>
          <xdr:rowOff>114300</xdr:rowOff>
        </xdr:from>
        <xdr:to>
          <xdr:col>16</xdr:col>
          <xdr:colOff>476250</xdr:colOff>
          <xdr:row>63</xdr:row>
          <xdr:rowOff>142875</xdr:rowOff>
        </xdr:to>
        <xdr:sp macro="" textlink="">
          <xdr:nvSpPr>
            <xdr:cNvPr id="15455" name="Option Button 95" hidden="1">
              <a:extLst>
                <a:ext uri="{63B3BB69-23CF-44E3-9099-C40C66FF867C}">
                  <a14:compatExt spid="_x0000_s15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62</xdr:row>
          <xdr:rowOff>114300</xdr:rowOff>
        </xdr:from>
        <xdr:to>
          <xdr:col>20</xdr:col>
          <xdr:colOff>409575</xdr:colOff>
          <xdr:row>63</xdr:row>
          <xdr:rowOff>142875</xdr:rowOff>
        </xdr:to>
        <xdr:sp macro="" textlink="">
          <xdr:nvSpPr>
            <xdr:cNvPr id="15456" name="Option Button 96" hidden="1">
              <a:extLst>
                <a:ext uri="{63B3BB69-23CF-44E3-9099-C40C66FF867C}">
                  <a14:compatExt spid="_x0000_s15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38100</xdr:rowOff>
        </xdr:from>
        <xdr:to>
          <xdr:col>20</xdr:col>
          <xdr:colOff>590550</xdr:colOff>
          <xdr:row>68</xdr:row>
          <xdr:rowOff>76200</xdr:rowOff>
        </xdr:to>
        <xdr:sp macro="" textlink="">
          <xdr:nvSpPr>
            <xdr:cNvPr id="15457" name="Group Box 97" hidden="1">
              <a:extLst>
                <a:ext uri="{63B3BB69-23CF-44E3-9099-C40C66FF867C}">
                  <a14:compatExt spid="_x0000_s15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17. Confio em minha capacidade de tomar decisões e solucionar problemas desafiantes que encontro na rotina do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66</xdr:row>
          <xdr:rowOff>47625</xdr:rowOff>
        </xdr:from>
        <xdr:to>
          <xdr:col>5</xdr:col>
          <xdr:colOff>66675</xdr:colOff>
          <xdr:row>67</xdr:row>
          <xdr:rowOff>76200</xdr:rowOff>
        </xdr:to>
        <xdr:sp macro="" textlink="">
          <xdr:nvSpPr>
            <xdr:cNvPr id="15458" name="Option Button 98" hidden="1">
              <a:extLst>
                <a:ext uri="{63B3BB69-23CF-44E3-9099-C40C66FF867C}">
                  <a14:compatExt spid="_x0000_s15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66</xdr:row>
          <xdr:rowOff>47625</xdr:rowOff>
        </xdr:from>
        <xdr:to>
          <xdr:col>9</xdr:col>
          <xdr:colOff>0</xdr:colOff>
          <xdr:row>67</xdr:row>
          <xdr:rowOff>76200</xdr:rowOff>
        </xdr:to>
        <xdr:sp macro="" textlink="">
          <xdr:nvSpPr>
            <xdr:cNvPr id="15459" name="Option Button 99" hidden="1">
              <a:extLst>
                <a:ext uri="{63B3BB69-23CF-44E3-9099-C40C66FF867C}">
                  <a14:compatExt spid="_x0000_s15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66</xdr:row>
          <xdr:rowOff>47625</xdr:rowOff>
        </xdr:from>
        <xdr:to>
          <xdr:col>12</xdr:col>
          <xdr:colOff>542925</xdr:colOff>
          <xdr:row>67</xdr:row>
          <xdr:rowOff>76200</xdr:rowOff>
        </xdr:to>
        <xdr:sp macro="" textlink="">
          <xdr:nvSpPr>
            <xdr:cNvPr id="15460" name="Option Button 100" hidden="1">
              <a:extLst>
                <a:ext uri="{63B3BB69-23CF-44E3-9099-C40C66FF867C}">
                  <a14:compatExt spid="_x0000_s15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66</xdr:row>
          <xdr:rowOff>47625</xdr:rowOff>
        </xdr:from>
        <xdr:to>
          <xdr:col>16</xdr:col>
          <xdr:colOff>476250</xdr:colOff>
          <xdr:row>67</xdr:row>
          <xdr:rowOff>76200</xdr:rowOff>
        </xdr:to>
        <xdr:sp macro="" textlink="">
          <xdr:nvSpPr>
            <xdr:cNvPr id="15461" name="Option Button 101" hidden="1">
              <a:extLst>
                <a:ext uri="{63B3BB69-23CF-44E3-9099-C40C66FF867C}">
                  <a14:compatExt spid="_x0000_s15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66</xdr:row>
          <xdr:rowOff>47625</xdr:rowOff>
        </xdr:from>
        <xdr:to>
          <xdr:col>20</xdr:col>
          <xdr:colOff>409575</xdr:colOff>
          <xdr:row>67</xdr:row>
          <xdr:rowOff>76200</xdr:rowOff>
        </xdr:to>
        <xdr:sp macro="" textlink="">
          <xdr:nvSpPr>
            <xdr:cNvPr id="15462" name="Option Button 102" hidden="1">
              <a:extLst>
                <a:ext uri="{63B3BB69-23CF-44E3-9099-C40C66FF867C}">
                  <a14:compatExt spid="_x0000_s15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161925</xdr:rowOff>
        </xdr:from>
        <xdr:to>
          <xdr:col>20</xdr:col>
          <xdr:colOff>590550</xdr:colOff>
          <xdr:row>72</xdr:row>
          <xdr:rowOff>9525</xdr:rowOff>
        </xdr:to>
        <xdr:sp macro="" textlink="">
          <xdr:nvSpPr>
            <xdr:cNvPr id="15463" name="Group Box 103" hidden="1">
              <a:extLst>
                <a:ext uri="{63B3BB69-23CF-44E3-9099-C40C66FF867C}">
                  <a14:compatExt spid="_x0000_s15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18. Na execução das atividades, minha intuição e criatividade costumam ser suficientes para decidir o que fazer, contudo, sei que organização e controle não são aspectos secundários.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69</xdr:row>
          <xdr:rowOff>171450</xdr:rowOff>
        </xdr:from>
        <xdr:to>
          <xdr:col>5</xdr:col>
          <xdr:colOff>66675</xdr:colOff>
          <xdr:row>71</xdr:row>
          <xdr:rowOff>9525</xdr:rowOff>
        </xdr:to>
        <xdr:sp macro="" textlink="">
          <xdr:nvSpPr>
            <xdr:cNvPr id="15464" name="Option Button 104" hidden="1">
              <a:extLst>
                <a:ext uri="{63B3BB69-23CF-44E3-9099-C40C66FF867C}">
                  <a14:compatExt spid="_x0000_s15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69</xdr:row>
          <xdr:rowOff>171450</xdr:rowOff>
        </xdr:from>
        <xdr:to>
          <xdr:col>9</xdr:col>
          <xdr:colOff>0</xdr:colOff>
          <xdr:row>71</xdr:row>
          <xdr:rowOff>9525</xdr:rowOff>
        </xdr:to>
        <xdr:sp macro="" textlink="">
          <xdr:nvSpPr>
            <xdr:cNvPr id="15465" name="Option Button 105" hidden="1">
              <a:extLst>
                <a:ext uri="{63B3BB69-23CF-44E3-9099-C40C66FF867C}">
                  <a14:compatExt spid="_x0000_s15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69</xdr:row>
          <xdr:rowOff>171450</xdr:rowOff>
        </xdr:from>
        <xdr:to>
          <xdr:col>12</xdr:col>
          <xdr:colOff>542925</xdr:colOff>
          <xdr:row>71</xdr:row>
          <xdr:rowOff>9525</xdr:rowOff>
        </xdr:to>
        <xdr:sp macro="" textlink="">
          <xdr:nvSpPr>
            <xdr:cNvPr id="15466" name="Option Button 106" hidden="1">
              <a:extLst>
                <a:ext uri="{63B3BB69-23CF-44E3-9099-C40C66FF867C}">
                  <a14:compatExt spid="_x0000_s15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69</xdr:row>
          <xdr:rowOff>171450</xdr:rowOff>
        </xdr:from>
        <xdr:to>
          <xdr:col>16</xdr:col>
          <xdr:colOff>476250</xdr:colOff>
          <xdr:row>71</xdr:row>
          <xdr:rowOff>9525</xdr:rowOff>
        </xdr:to>
        <xdr:sp macro="" textlink="">
          <xdr:nvSpPr>
            <xdr:cNvPr id="15467" name="Option Button 107" hidden="1">
              <a:extLst>
                <a:ext uri="{63B3BB69-23CF-44E3-9099-C40C66FF867C}">
                  <a14:compatExt spid="_x0000_s15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69</xdr:row>
          <xdr:rowOff>171450</xdr:rowOff>
        </xdr:from>
        <xdr:to>
          <xdr:col>20</xdr:col>
          <xdr:colOff>409575</xdr:colOff>
          <xdr:row>71</xdr:row>
          <xdr:rowOff>9525</xdr:rowOff>
        </xdr:to>
        <xdr:sp macro="" textlink="">
          <xdr:nvSpPr>
            <xdr:cNvPr id="15468" name="Option Button 108" hidden="1">
              <a:extLst>
                <a:ext uri="{63B3BB69-23CF-44E3-9099-C40C66FF867C}">
                  <a14:compatExt spid="_x0000_s15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72</xdr:row>
          <xdr:rowOff>95250</xdr:rowOff>
        </xdr:from>
        <xdr:to>
          <xdr:col>20</xdr:col>
          <xdr:colOff>590550</xdr:colOff>
          <xdr:row>75</xdr:row>
          <xdr:rowOff>133350</xdr:rowOff>
        </xdr:to>
        <xdr:sp macro="" textlink="">
          <xdr:nvSpPr>
            <xdr:cNvPr id="15469" name="Group Box 109" hidden="1">
              <a:extLst>
                <a:ext uri="{63B3BB69-23CF-44E3-9099-C40C66FF867C}">
                  <a14:compatExt spid="_x0000_s15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19. Identifico pessoas influentes e solicito apoio delas para alcançar minhas metas, pois somente assim consigo obter resultados positivos.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73</xdr:row>
          <xdr:rowOff>104775</xdr:rowOff>
        </xdr:from>
        <xdr:to>
          <xdr:col>5</xdr:col>
          <xdr:colOff>66675</xdr:colOff>
          <xdr:row>74</xdr:row>
          <xdr:rowOff>133350</xdr:rowOff>
        </xdr:to>
        <xdr:sp macro="" textlink="">
          <xdr:nvSpPr>
            <xdr:cNvPr id="15470" name="Option Button 110" hidden="1">
              <a:extLst>
                <a:ext uri="{63B3BB69-23CF-44E3-9099-C40C66FF867C}">
                  <a14:compatExt spid="_x0000_s15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73</xdr:row>
          <xdr:rowOff>104775</xdr:rowOff>
        </xdr:from>
        <xdr:to>
          <xdr:col>9</xdr:col>
          <xdr:colOff>0</xdr:colOff>
          <xdr:row>74</xdr:row>
          <xdr:rowOff>133350</xdr:rowOff>
        </xdr:to>
        <xdr:sp macro="" textlink="">
          <xdr:nvSpPr>
            <xdr:cNvPr id="15471" name="Option Button 111" hidden="1">
              <a:extLst>
                <a:ext uri="{63B3BB69-23CF-44E3-9099-C40C66FF867C}">
                  <a14:compatExt spid="_x0000_s15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73</xdr:row>
          <xdr:rowOff>104775</xdr:rowOff>
        </xdr:from>
        <xdr:to>
          <xdr:col>12</xdr:col>
          <xdr:colOff>542925</xdr:colOff>
          <xdr:row>74</xdr:row>
          <xdr:rowOff>133350</xdr:rowOff>
        </xdr:to>
        <xdr:sp macro="" textlink="">
          <xdr:nvSpPr>
            <xdr:cNvPr id="15472" name="Option Button 112" hidden="1">
              <a:extLst>
                <a:ext uri="{63B3BB69-23CF-44E3-9099-C40C66FF867C}">
                  <a14:compatExt spid="_x0000_s15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73</xdr:row>
          <xdr:rowOff>104775</xdr:rowOff>
        </xdr:from>
        <xdr:to>
          <xdr:col>16</xdr:col>
          <xdr:colOff>476250</xdr:colOff>
          <xdr:row>74</xdr:row>
          <xdr:rowOff>133350</xdr:rowOff>
        </xdr:to>
        <xdr:sp macro="" textlink="">
          <xdr:nvSpPr>
            <xdr:cNvPr id="15473" name="Option Button 113" hidden="1">
              <a:extLst>
                <a:ext uri="{63B3BB69-23CF-44E3-9099-C40C66FF867C}">
                  <a14:compatExt spid="_x0000_s15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73</xdr:row>
          <xdr:rowOff>104775</xdr:rowOff>
        </xdr:from>
        <xdr:to>
          <xdr:col>20</xdr:col>
          <xdr:colOff>409575</xdr:colOff>
          <xdr:row>74</xdr:row>
          <xdr:rowOff>133350</xdr:rowOff>
        </xdr:to>
        <xdr:sp macro="" textlink="">
          <xdr:nvSpPr>
            <xdr:cNvPr id="15474" name="Option Button 114" hidden="1">
              <a:extLst>
                <a:ext uri="{63B3BB69-23CF-44E3-9099-C40C66FF867C}">
                  <a14:compatExt spid="_x0000_s15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76</xdr:row>
          <xdr:rowOff>28575</xdr:rowOff>
        </xdr:from>
        <xdr:to>
          <xdr:col>20</xdr:col>
          <xdr:colOff>590550</xdr:colOff>
          <xdr:row>79</xdr:row>
          <xdr:rowOff>66675</xdr:rowOff>
        </xdr:to>
        <xdr:sp macro="" textlink="">
          <xdr:nvSpPr>
            <xdr:cNvPr id="15475" name="Group Box 115" hidden="1">
              <a:extLst>
                <a:ext uri="{63B3BB69-23CF-44E3-9099-C40C66FF867C}">
                  <a14:compatExt spid="_x0000_s15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20. Sendo necessário, possível e viável, costumo insistir para conseguir o que pretendo.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77</xdr:row>
          <xdr:rowOff>38100</xdr:rowOff>
        </xdr:from>
        <xdr:to>
          <xdr:col>5</xdr:col>
          <xdr:colOff>66675</xdr:colOff>
          <xdr:row>78</xdr:row>
          <xdr:rowOff>66675</xdr:rowOff>
        </xdr:to>
        <xdr:sp macro="" textlink="">
          <xdr:nvSpPr>
            <xdr:cNvPr id="15476" name="Option Button 116" hidden="1">
              <a:extLst>
                <a:ext uri="{63B3BB69-23CF-44E3-9099-C40C66FF867C}">
                  <a14:compatExt spid="_x0000_s15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77</xdr:row>
          <xdr:rowOff>38100</xdr:rowOff>
        </xdr:from>
        <xdr:to>
          <xdr:col>9</xdr:col>
          <xdr:colOff>0</xdr:colOff>
          <xdr:row>78</xdr:row>
          <xdr:rowOff>66675</xdr:rowOff>
        </xdr:to>
        <xdr:sp macro="" textlink="">
          <xdr:nvSpPr>
            <xdr:cNvPr id="15477" name="Option Button 117" hidden="1">
              <a:extLst>
                <a:ext uri="{63B3BB69-23CF-44E3-9099-C40C66FF867C}">
                  <a14:compatExt spid="_x0000_s15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77</xdr:row>
          <xdr:rowOff>38100</xdr:rowOff>
        </xdr:from>
        <xdr:to>
          <xdr:col>12</xdr:col>
          <xdr:colOff>542925</xdr:colOff>
          <xdr:row>78</xdr:row>
          <xdr:rowOff>66675</xdr:rowOff>
        </xdr:to>
        <xdr:sp macro="" textlink="">
          <xdr:nvSpPr>
            <xdr:cNvPr id="15478" name="Option Button 118" hidden="1">
              <a:extLst>
                <a:ext uri="{63B3BB69-23CF-44E3-9099-C40C66FF867C}">
                  <a14:compatExt spid="_x0000_s15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77</xdr:row>
          <xdr:rowOff>38100</xdr:rowOff>
        </xdr:from>
        <xdr:to>
          <xdr:col>16</xdr:col>
          <xdr:colOff>476250</xdr:colOff>
          <xdr:row>78</xdr:row>
          <xdr:rowOff>66675</xdr:rowOff>
        </xdr:to>
        <xdr:sp macro="" textlink="">
          <xdr:nvSpPr>
            <xdr:cNvPr id="15479" name="Option Button 119" hidden="1">
              <a:extLst>
                <a:ext uri="{63B3BB69-23CF-44E3-9099-C40C66FF867C}">
                  <a14:compatExt spid="_x0000_s15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77</xdr:row>
          <xdr:rowOff>38100</xdr:rowOff>
        </xdr:from>
        <xdr:to>
          <xdr:col>20</xdr:col>
          <xdr:colOff>409575</xdr:colOff>
          <xdr:row>78</xdr:row>
          <xdr:rowOff>66675</xdr:rowOff>
        </xdr:to>
        <xdr:sp macro="" textlink="">
          <xdr:nvSpPr>
            <xdr:cNvPr id="15480" name="Option Button 120" hidden="1">
              <a:extLst>
                <a:ext uri="{63B3BB69-23CF-44E3-9099-C40C66FF867C}">
                  <a14:compatExt spid="_x0000_s15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79</xdr:row>
          <xdr:rowOff>152400</xdr:rowOff>
        </xdr:from>
        <xdr:to>
          <xdr:col>20</xdr:col>
          <xdr:colOff>590550</xdr:colOff>
          <xdr:row>83</xdr:row>
          <xdr:rowOff>0</xdr:rowOff>
        </xdr:to>
        <xdr:sp macro="" textlink="">
          <xdr:nvSpPr>
            <xdr:cNvPr id="15481" name="Group Box 121" hidden="1">
              <a:extLst>
                <a:ext uri="{63B3BB69-23CF-44E3-9099-C40C66FF867C}">
                  <a14:compatExt spid="_x0000_s15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21. Quando necessário, possível e viável, aproveito as oportunidades que surgem no mercado, pois elas trazem retorno financeiro.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80</xdr:row>
          <xdr:rowOff>161925</xdr:rowOff>
        </xdr:from>
        <xdr:to>
          <xdr:col>5</xdr:col>
          <xdr:colOff>66675</xdr:colOff>
          <xdr:row>82</xdr:row>
          <xdr:rowOff>0</xdr:rowOff>
        </xdr:to>
        <xdr:sp macro="" textlink="">
          <xdr:nvSpPr>
            <xdr:cNvPr id="15482" name="Option Button 122" hidden="1">
              <a:extLst>
                <a:ext uri="{63B3BB69-23CF-44E3-9099-C40C66FF867C}">
                  <a14:compatExt spid="_x0000_s15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80</xdr:row>
          <xdr:rowOff>161925</xdr:rowOff>
        </xdr:from>
        <xdr:to>
          <xdr:col>9</xdr:col>
          <xdr:colOff>0</xdr:colOff>
          <xdr:row>82</xdr:row>
          <xdr:rowOff>0</xdr:rowOff>
        </xdr:to>
        <xdr:sp macro="" textlink="">
          <xdr:nvSpPr>
            <xdr:cNvPr id="15483" name="Option Button 123" hidden="1">
              <a:extLst>
                <a:ext uri="{63B3BB69-23CF-44E3-9099-C40C66FF867C}">
                  <a14:compatExt spid="_x0000_s15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80</xdr:row>
          <xdr:rowOff>161925</xdr:rowOff>
        </xdr:from>
        <xdr:to>
          <xdr:col>12</xdr:col>
          <xdr:colOff>542925</xdr:colOff>
          <xdr:row>82</xdr:row>
          <xdr:rowOff>0</xdr:rowOff>
        </xdr:to>
        <xdr:sp macro="" textlink="">
          <xdr:nvSpPr>
            <xdr:cNvPr id="15484" name="Option Button 124" hidden="1">
              <a:extLst>
                <a:ext uri="{63B3BB69-23CF-44E3-9099-C40C66FF867C}">
                  <a14:compatExt spid="_x0000_s15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80</xdr:row>
          <xdr:rowOff>161925</xdr:rowOff>
        </xdr:from>
        <xdr:to>
          <xdr:col>16</xdr:col>
          <xdr:colOff>476250</xdr:colOff>
          <xdr:row>82</xdr:row>
          <xdr:rowOff>0</xdr:rowOff>
        </xdr:to>
        <xdr:sp macro="" textlink="">
          <xdr:nvSpPr>
            <xdr:cNvPr id="15485" name="Option Button 125" hidden="1">
              <a:extLst>
                <a:ext uri="{63B3BB69-23CF-44E3-9099-C40C66FF867C}">
                  <a14:compatExt spid="_x0000_s15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80</xdr:row>
          <xdr:rowOff>161925</xdr:rowOff>
        </xdr:from>
        <xdr:to>
          <xdr:col>20</xdr:col>
          <xdr:colOff>409575</xdr:colOff>
          <xdr:row>82</xdr:row>
          <xdr:rowOff>0</xdr:rowOff>
        </xdr:to>
        <xdr:sp macro="" textlink="">
          <xdr:nvSpPr>
            <xdr:cNvPr id="15486" name="Option Button 126" hidden="1">
              <a:extLst>
                <a:ext uri="{63B3BB69-23CF-44E3-9099-C40C66FF867C}">
                  <a14:compatExt spid="_x0000_s15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83</xdr:row>
          <xdr:rowOff>85725</xdr:rowOff>
        </xdr:from>
        <xdr:to>
          <xdr:col>20</xdr:col>
          <xdr:colOff>590550</xdr:colOff>
          <xdr:row>86</xdr:row>
          <xdr:rowOff>123825</xdr:rowOff>
        </xdr:to>
        <xdr:sp macro="" textlink="">
          <xdr:nvSpPr>
            <xdr:cNvPr id="15487" name="Group Box 127" hidden="1">
              <a:extLst>
                <a:ext uri="{63B3BB69-23CF-44E3-9099-C40C66FF867C}">
                  <a14:compatExt spid="_x0000_s15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22. Não é comum enviar, brindes aos clientes em momentos específicos, independente de ser com objetivos comerciais ou não.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84</xdr:row>
          <xdr:rowOff>95250</xdr:rowOff>
        </xdr:from>
        <xdr:to>
          <xdr:col>5</xdr:col>
          <xdr:colOff>66675</xdr:colOff>
          <xdr:row>85</xdr:row>
          <xdr:rowOff>123825</xdr:rowOff>
        </xdr:to>
        <xdr:sp macro="" textlink="">
          <xdr:nvSpPr>
            <xdr:cNvPr id="15488" name="Option Button 128" hidden="1">
              <a:extLst>
                <a:ext uri="{63B3BB69-23CF-44E3-9099-C40C66FF867C}">
                  <a14:compatExt spid="_x0000_s15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84</xdr:row>
          <xdr:rowOff>95250</xdr:rowOff>
        </xdr:from>
        <xdr:to>
          <xdr:col>9</xdr:col>
          <xdr:colOff>0</xdr:colOff>
          <xdr:row>85</xdr:row>
          <xdr:rowOff>123825</xdr:rowOff>
        </xdr:to>
        <xdr:sp macro="" textlink="">
          <xdr:nvSpPr>
            <xdr:cNvPr id="15489" name="Option Button 129" hidden="1">
              <a:extLst>
                <a:ext uri="{63B3BB69-23CF-44E3-9099-C40C66FF867C}">
                  <a14:compatExt spid="_x0000_s15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84</xdr:row>
          <xdr:rowOff>95250</xdr:rowOff>
        </xdr:from>
        <xdr:to>
          <xdr:col>12</xdr:col>
          <xdr:colOff>542925</xdr:colOff>
          <xdr:row>85</xdr:row>
          <xdr:rowOff>123825</xdr:rowOff>
        </xdr:to>
        <xdr:sp macro="" textlink="">
          <xdr:nvSpPr>
            <xdr:cNvPr id="15490" name="Option Button 130" hidden="1">
              <a:extLst>
                <a:ext uri="{63B3BB69-23CF-44E3-9099-C40C66FF867C}">
                  <a14:compatExt spid="_x0000_s15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84</xdr:row>
          <xdr:rowOff>95250</xdr:rowOff>
        </xdr:from>
        <xdr:to>
          <xdr:col>16</xdr:col>
          <xdr:colOff>476250</xdr:colOff>
          <xdr:row>85</xdr:row>
          <xdr:rowOff>123825</xdr:rowOff>
        </xdr:to>
        <xdr:sp macro="" textlink="">
          <xdr:nvSpPr>
            <xdr:cNvPr id="15491" name="Option Button 131" hidden="1">
              <a:extLst>
                <a:ext uri="{63B3BB69-23CF-44E3-9099-C40C66FF867C}">
                  <a14:compatExt spid="_x0000_s15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84</xdr:row>
          <xdr:rowOff>95250</xdr:rowOff>
        </xdr:from>
        <xdr:to>
          <xdr:col>20</xdr:col>
          <xdr:colOff>409575</xdr:colOff>
          <xdr:row>85</xdr:row>
          <xdr:rowOff>123825</xdr:rowOff>
        </xdr:to>
        <xdr:sp macro="" textlink="">
          <xdr:nvSpPr>
            <xdr:cNvPr id="15492" name="Option Button 132" hidden="1">
              <a:extLst>
                <a:ext uri="{63B3BB69-23CF-44E3-9099-C40C66FF867C}">
                  <a14:compatExt spid="_x0000_s15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87</xdr:row>
          <xdr:rowOff>19050</xdr:rowOff>
        </xdr:from>
        <xdr:to>
          <xdr:col>20</xdr:col>
          <xdr:colOff>590550</xdr:colOff>
          <xdr:row>90</xdr:row>
          <xdr:rowOff>57150</xdr:rowOff>
        </xdr:to>
        <xdr:sp macro="" textlink="">
          <xdr:nvSpPr>
            <xdr:cNvPr id="15493" name="Group Box 133" hidden="1">
              <a:extLst>
                <a:ext uri="{63B3BB69-23CF-44E3-9099-C40C66FF867C}">
                  <a14:compatExt spid="_x0000_s15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23. Faço controles financeiros por meio de registros e utilizo esses dados para subsidiar as minhas decisões.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88</xdr:row>
          <xdr:rowOff>28575</xdr:rowOff>
        </xdr:from>
        <xdr:to>
          <xdr:col>5</xdr:col>
          <xdr:colOff>66675</xdr:colOff>
          <xdr:row>89</xdr:row>
          <xdr:rowOff>57150</xdr:rowOff>
        </xdr:to>
        <xdr:sp macro="" textlink="">
          <xdr:nvSpPr>
            <xdr:cNvPr id="15494" name="Option Button 134" hidden="1">
              <a:extLst>
                <a:ext uri="{63B3BB69-23CF-44E3-9099-C40C66FF867C}">
                  <a14:compatExt spid="_x0000_s15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88</xdr:row>
          <xdr:rowOff>28575</xdr:rowOff>
        </xdr:from>
        <xdr:to>
          <xdr:col>9</xdr:col>
          <xdr:colOff>0</xdr:colOff>
          <xdr:row>89</xdr:row>
          <xdr:rowOff>57150</xdr:rowOff>
        </xdr:to>
        <xdr:sp macro="" textlink="">
          <xdr:nvSpPr>
            <xdr:cNvPr id="15495" name="Option Button 135" hidden="1">
              <a:extLst>
                <a:ext uri="{63B3BB69-23CF-44E3-9099-C40C66FF867C}">
                  <a14:compatExt spid="_x0000_s15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88</xdr:row>
          <xdr:rowOff>28575</xdr:rowOff>
        </xdr:from>
        <xdr:to>
          <xdr:col>12</xdr:col>
          <xdr:colOff>542925</xdr:colOff>
          <xdr:row>89</xdr:row>
          <xdr:rowOff>57150</xdr:rowOff>
        </xdr:to>
        <xdr:sp macro="" textlink="">
          <xdr:nvSpPr>
            <xdr:cNvPr id="15496" name="Option Button 136" hidden="1">
              <a:extLst>
                <a:ext uri="{63B3BB69-23CF-44E3-9099-C40C66FF867C}">
                  <a14:compatExt spid="_x0000_s15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88</xdr:row>
          <xdr:rowOff>28575</xdr:rowOff>
        </xdr:from>
        <xdr:to>
          <xdr:col>16</xdr:col>
          <xdr:colOff>476250</xdr:colOff>
          <xdr:row>89</xdr:row>
          <xdr:rowOff>57150</xdr:rowOff>
        </xdr:to>
        <xdr:sp macro="" textlink="">
          <xdr:nvSpPr>
            <xdr:cNvPr id="15497" name="Option Button 137" hidden="1">
              <a:extLst>
                <a:ext uri="{63B3BB69-23CF-44E3-9099-C40C66FF867C}">
                  <a14:compatExt spid="_x0000_s15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88</xdr:row>
          <xdr:rowOff>28575</xdr:rowOff>
        </xdr:from>
        <xdr:to>
          <xdr:col>20</xdr:col>
          <xdr:colOff>409575</xdr:colOff>
          <xdr:row>89</xdr:row>
          <xdr:rowOff>57150</xdr:rowOff>
        </xdr:to>
        <xdr:sp macro="" textlink="">
          <xdr:nvSpPr>
            <xdr:cNvPr id="15498" name="Option Button 138" hidden="1">
              <a:extLst>
                <a:ext uri="{63B3BB69-23CF-44E3-9099-C40C66FF867C}">
                  <a14:compatExt spid="_x0000_s15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90</xdr:row>
          <xdr:rowOff>142875</xdr:rowOff>
        </xdr:from>
        <xdr:to>
          <xdr:col>20</xdr:col>
          <xdr:colOff>590550</xdr:colOff>
          <xdr:row>93</xdr:row>
          <xdr:rowOff>180975</xdr:rowOff>
        </xdr:to>
        <xdr:sp macro="" textlink="">
          <xdr:nvSpPr>
            <xdr:cNvPr id="15499" name="Group Box 139" hidden="1">
              <a:extLst>
                <a:ext uri="{63B3BB69-23CF-44E3-9099-C40C66FF867C}">
                  <a14:compatExt spid="_x0000_s15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24. Quando encontro dificuldades na execução de uma atividade, não me permito aguardar um tempo até que ela se resolva por si.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91</xdr:row>
          <xdr:rowOff>152400</xdr:rowOff>
        </xdr:from>
        <xdr:to>
          <xdr:col>5</xdr:col>
          <xdr:colOff>66675</xdr:colOff>
          <xdr:row>92</xdr:row>
          <xdr:rowOff>180975</xdr:rowOff>
        </xdr:to>
        <xdr:sp macro="" textlink="">
          <xdr:nvSpPr>
            <xdr:cNvPr id="15500" name="Option Button 140" hidden="1">
              <a:extLst>
                <a:ext uri="{63B3BB69-23CF-44E3-9099-C40C66FF867C}">
                  <a14:compatExt spid="_x0000_s15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91</xdr:row>
          <xdr:rowOff>152400</xdr:rowOff>
        </xdr:from>
        <xdr:to>
          <xdr:col>9</xdr:col>
          <xdr:colOff>0</xdr:colOff>
          <xdr:row>92</xdr:row>
          <xdr:rowOff>180975</xdr:rowOff>
        </xdr:to>
        <xdr:sp macro="" textlink="">
          <xdr:nvSpPr>
            <xdr:cNvPr id="15501" name="Option Button 141" hidden="1">
              <a:extLst>
                <a:ext uri="{63B3BB69-23CF-44E3-9099-C40C66FF867C}">
                  <a14:compatExt spid="_x0000_s15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91</xdr:row>
          <xdr:rowOff>152400</xdr:rowOff>
        </xdr:from>
        <xdr:to>
          <xdr:col>12</xdr:col>
          <xdr:colOff>542925</xdr:colOff>
          <xdr:row>92</xdr:row>
          <xdr:rowOff>180975</xdr:rowOff>
        </xdr:to>
        <xdr:sp macro="" textlink="">
          <xdr:nvSpPr>
            <xdr:cNvPr id="15502" name="Option Button 142" hidden="1">
              <a:extLst>
                <a:ext uri="{63B3BB69-23CF-44E3-9099-C40C66FF867C}">
                  <a14:compatExt spid="_x0000_s15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91</xdr:row>
          <xdr:rowOff>152400</xdr:rowOff>
        </xdr:from>
        <xdr:to>
          <xdr:col>16</xdr:col>
          <xdr:colOff>476250</xdr:colOff>
          <xdr:row>92</xdr:row>
          <xdr:rowOff>180975</xdr:rowOff>
        </xdr:to>
        <xdr:sp macro="" textlink="">
          <xdr:nvSpPr>
            <xdr:cNvPr id="15503" name="Option Button 143" hidden="1">
              <a:extLst>
                <a:ext uri="{63B3BB69-23CF-44E3-9099-C40C66FF867C}">
                  <a14:compatExt spid="_x0000_s15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91</xdr:row>
          <xdr:rowOff>152400</xdr:rowOff>
        </xdr:from>
        <xdr:to>
          <xdr:col>20</xdr:col>
          <xdr:colOff>409575</xdr:colOff>
          <xdr:row>92</xdr:row>
          <xdr:rowOff>180975</xdr:rowOff>
        </xdr:to>
        <xdr:sp macro="" textlink="">
          <xdr:nvSpPr>
            <xdr:cNvPr id="15504" name="Option Button 144" hidden="1">
              <a:extLst>
                <a:ext uri="{63B3BB69-23CF-44E3-9099-C40C66FF867C}">
                  <a14:compatExt spid="_x0000_s15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94</xdr:row>
          <xdr:rowOff>76200</xdr:rowOff>
        </xdr:from>
        <xdr:to>
          <xdr:col>20</xdr:col>
          <xdr:colOff>590550</xdr:colOff>
          <xdr:row>97</xdr:row>
          <xdr:rowOff>114300</xdr:rowOff>
        </xdr:to>
        <xdr:sp macro="" textlink="">
          <xdr:nvSpPr>
            <xdr:cNvPr id="15505" name="Group Box 145" hidden="1">
              <a:extLst>
                <a:ext uri="{63B3BB69-23CF-44E3-9099-C40C66FF867C}">
                  <a14:compatExt spid="_x0000_s15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25. Quando necessário, trabalho muito e com afinco, para completar uma tarefa ou alcançar um objetivo.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95</xdr:row>
          <xdr:rowOff>85725</xdr:rowOff>
        </xdr:from>
        <xdr:to>
          <xdr:col>5</xdr:col>
          <xdr:colOff>66675</xdr:colOff>
          <xdr:row>96</xdr:row>
          <xdr:rowOff>114300</xdr:rowOff>
        </xdr:to>
        <xdr:sp macro="" textlink="">
          <xdr:nvSpPr>
            <xdr:cNvPr id="15506" name="Option Button 146" hidden="1">
              <a:extLst>
                <a:ext uri="{63B3BB69-23CF-44E3-9099-C40C66FF867C}">
                  <a14:compatExt spid="_x0000_s15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95</xdr:row>
          <xdr:rowOff>85725</xdr:rowOff>
        </xdr:from>
        <xdr:to>
          <xdr:col>9</xdr:col>
          <xdr:colOff>0</xdr:colOff>
          <xdr:row>96</xdr:row>
          <xdr:rowOff>114300</xdr:rowOff>
        </xdr:to>
        <xdr:sp macro="" textlink="">
          <xdr:nvSpPr>
            <xdr:cNvPr id="15507" name="Option Button 147" hidden="1">
              <a:extLst>
                <a:ext uri="{63B3BB69-23CF-44E3-9099-C40C66FF867C}">
                  <a14:compatExt spid="_x0000_s15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95</xdr:row>
          <xdr:rowOff>85725</xdr:rowOff>
        </xdr:from>
        <xdr:to>
          <xdr:col>12</xdr:col>
          <xdr:colOff>542925</xdr:colOff>
          <xdr:row>96</xdr:row>
          <xdr:rowOff>114300</xdr:rowOff>
        </xdr:to>
        <xdr:sp macro="" textlink="">
          <xdr:nvSpPr>
            <xdr:cNvPr id="15508" name="Option Button 148" hidden="1">
              <a:extLst>
                <a:ext uri="{63B3BB69-23CF-44E3-9099-C40C66FF867C}">
                  <a14:compatExt spid="_x0000_s15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95</xdr:row>
          <xdr:rowOff>85725</xdr:rowOff>
        </xdr:from>
        <xdr:to>
          <xdr:col>16</xdr:col>
          <xdr:colOff>476250</xdr:colOff>
          <xdr:row>96</xdr:row>
          <xdr:rowOff>114300</xdr:rowOff>
        </xdr:to>
        <xdr:sp macro="" textlink="">
          <xdr:nvSpPr>
            <xdr:cNvPr id="15509" name="Option Button 149" hidden="1">
              <a:extLst>
                <a:ext uri="{63B3BB69-23CF-44E3-9099-C40C66FF867C}">
                  <a14:compatExt spid="_x0000_s15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95</xdr:row>
          <xdr:rowOff>85725</xdr:rowOff>
        </xdr:from>
        <xdr:to>
          <xdr:col>20</xdr:col>
          <xdr:colOff>409575</xdr:colOff>
          <xdr:row>96</xdr:row>
          <xdr:rowOff>114300</xdr:rowOff>
        </xdr:to>
        <xdr:sp macro="" textlink="">
          <xdr:nvSpPr>
            <xdr:cNvPr id="15510" name="Option Button 150" hidden="1">
              <a:extLst>
                <a:ext uri="{63B3BB69-23CF-44E3-9099-C40C66FF867C}">
                  <a14:compatExt spid="_x0000_s15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98</xdr:row>
          <xdr:rowOff>9525</xdr:rowOff>
        </xdr:from>
        <xdr:to>
          <xdr:col>20</xdr:col>
          <xdr:colOff>590550</xdr:colOff>
          <xdr:row>101</xdr:row>
          <xdr:rowOff>47625</xdr:rowOff>
        </xdr:to>
        <xdr:sp macro="" textlink="">
          <xdr:nvSpPr>
            <xdr:cNvPr id="15511" name="Group Box 151" hidden="1">
              <a:extLst>
                <a:ext uri="{63B3BB69-23CF-44E3-9099-C40C66FF867C}">
                  <a14:compatExt spid="_x0000_s15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26. Faço coisas que, na opinião dos outros, são arriscadas.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99</xdr:row>
          <xdr:rowOff>19050</xdr:rowOff>
        </xdr:from>
        <xdr:to>
          <xdr:col>5</xdr:col>
          <xdr:colOff>66675</xdr:colOff>
          <xdr:row>100</xdr:row>
          <xdr:rowOff>47625</xdr:rowOff>
        </xdr:to>
        <xdr:sp macro="" textlink="">
          <xdr:nvSpPr>
            <xdr:cNvPr id="15512" name="Option Button 152" hidden="1">
              <a:extLst>
                <a:ext uri="{63B3BB69-23CF-44E3-9099-C40C66FF867C}">
                  <a14:compatExt spid="_x0000_s15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99</xdr:row>
          <xdr:rowOff>19050</xdr:rowOff>
        </xdr:from>
        <xdr:to>
          <xdr:col>9</xdr:col>
          <xdr:colOff>0</xdr:colOff>
          <xdr:row>100</xdr:row>
          <xdr:rowOff>47625</xdr:rowOff>
        </xdr:to>
        <xdr:sp macro="" textlink="">
          <xdr:nvSpPr>
            <xdr:cNvPr id="15513" name="Option Button 153" hidden="1">
              <a:extLst>
                <a:ext uri="{63B3BB69-23CF-44E3-9099-C40C66FF867C}">
                  <a14:compatExt spid="_x0000_s15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99</xdr:row>
          <xdr:rowOff>19050</xdr:rowOff>
        </xdr:from>
        <xdr:to>
          <xdr:col>12</xdr:col>
          <xdr:colOff>542925</xdr:colOff>
          <xdr:row>100</xdr:row>
          <xdr:rowOff>47625</xdr:rowOff>
        </xdr:to>
        <xdr:sp macro="" textlink="">
          <xdr:nvSpPr>
            <xdr:cNvPr id="15514" name="Option Button 154" hidden="1">
              <a:extLst>
                <a:ext uri="{63B3BB69-23CF-44E3-9099-C40C66FF867C}">
                  <a14:compatExt spid="_x0000_s15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99</xdr:row>
          <xdr:rowOff>19050</xdr:rowOff>
        </xdr:from>
        <xdr:to>
          <xdr:col>16</xdr:col>
          <xdr:colOff>476250</xdr:colOff>
          <xdr:row>100</xdr:row>
          <xdr:rowOff>47625</xdr:rowOff>
        </xdr:to>
        <xdr:sp macro="" textlink="">
          <xdr:nvSpPr>
            <xdr:cNvPr id="15515" name="Option Button 155" hidden="1">
              <a:extLst>
                <a:ext uri="{63B3BB69-23CF-44E3-9099-C40C66FF867C}">
                  <a14:compatExt spid="_x0000_s15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99</xdr:row>
          <xdr:rowOff>19050</xdr:rowOff>
        </xdr:from>
        <xdr:to>
          <xdr:col>20</xdr:col>
          <xdr:colOff>409575</xdr:colOff>
          <xdr:row>100</xdr:row>
          <xdr:rowOff>47625</xdr:rowOff>
        </xdr:to>
        <xdr:sp macro="" textlink="">
          <xdr:nvSpPr>
            <xdr:cNvPr id="15516" name="Option Button 156" hidden="1">
              <a:extLst>
                <a:ext uri="{63B3BB69-23CF-44E3-9099-C40C66FF867C}">
                  <a14:compatExt spid="_x0000_s15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101</xdr:row>
          <xdr:rowOff>133350</xdr:rowOff>
        </xdr:from>
        <xdr:to>
          <xdr:col>20</xdr:col>
          <xdr:colOff>590550</xdr:colOff>
          <xdr:row>104</xdr:row>
          <xdr:rowOff>171450</xdr:rowOff>
        </xdr:to>
        <xdr:sp macro="" textlink="">
          <xdr:nvSpPr>
            <xdr:cNvPr id="15517" name="Group Box 157" hidden="1">
              <a:extLst>
                <a:ext uri="{63B3BB69-23CF-44E3-9099-C40C66FF867C}">
                  <a14:compatExt spid="_x0000_s15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27. Minhas ações diárias são fortemente influenciadas por meus objetivos de médio e longo prazos.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102</xdr:row>
          <xdr:rowOff>142875</xdr:rowOff>
        </xdr:from>
        <xdr:to>
          <xdr:col>5</xdr:col>
          <xdr:colOff>66675</xdr:colOff>
          <xdr:row>103</xdr:row>
          <xdr:rowOff>171450</xdr:rowOff>
        </xdr:to>
        <xdr:sp macro="" textlink="">
          <xdr:nvSpPr>
            <xdr:cNvPr id="15518" name="Option Button 158" hidden="1">
              <a:extLst>
                <a:ext uri="{63B3BB69-23CF-44E3-9099-C40C66FF867C}">
                  <a14:compatExt spid="_x0000_s15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102</xdr:row>
          <xdr:rowOff>142875</xdr:rowOff>
        </xdr:from>
        <xdr:to>
          <xdr:col>9</xdr:col>
          <xdr:colOff>0</xdr:colOff>
          <xdr:row>103</xdr:row>
          <xdr:rowOff>171450</xdr:rowOff>
        </xdr:to>
        <xdr:sp macro="" textlink="">
          <xdr:nvSpPr>
            <xdr:cNvPr id="15519" name="Option Button 159" hidden="1">
              <a:extLst>
                <a:ext uri="{63B3BB69-23CF-44E3-9099-C40C66FF867C}">
                  <a14:compatExt spid="_x0000_s15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102</xdr:row>
          <xdr:rowOff>142875</xdr:rowOff>
        </xdr:from>
        <xdr:to>
          <xdr:col>12</xdr:col>
          <xdr:colOff>542925</xdr:colOff>
          <xdr:row>103</xdr:row>
          <xdr:rowOff>171450</xdr:rowOff>
        </xdr:to>
        <xdr:sp macro="" textlink="">
          <xdr:nvSpPr>
            <xdr:cNvPr id="15520" name="Option Button 160" hidden="1">
              <a:extLst>
                <a:ext uri="{63B3BB69-23CF-44E3-9099-C40C66FF867C}">
                  <a14:compatExt spid="_x0000_s15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102</xdr:row>
          <xdr:rowOff>142875</xdr:rowOff>
        </xdr:from>
        <xdr:to>
          <xdr:col>16</xdr:col>
          <xdr:colOff>476250</xdr:colOff>
          <xdr:row>103</xdr:row>
          <xdr:rowOff>171450</xdr:rowOff>
        </xdr:to>
        <xdr:sp macro="" textlink="">
          <xdr:nvSpPr>
            <xdr:cNvPr id="15521" name="Option Button 161" hidden="1">
              <a:extLst>
                <a:ext uri="{63B3BB69-23CF-44E3-9099-C40C66FF867C}">
                  <a14:compatExt spid="_x0000_s15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102</xdr:row>
          <xdr:rowOff>142875</xdr:rowOff>
        </xdr:from>
        <xdr:to>
          <xdr:col>20</xdr:col>
          <xdr:colOff>409575</xdr:colOff>
          <xdr:row>103</xdr:row>
          <xdr:rowOff>171450</xdr:rowOff>
        </xdr:to>
        <xdr:sp macro="" textlink="">
          <xdr:nvSpPr>
            <xdr:cNvPr id="15522" name="Option Button 162" hidden="1">
              <a:extLst>
                <a:ext uri="{63B3BB69-23CF-44E3-9099-C40C66FF867C}">
                  <a14:compatExt spid="_x0000_s15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105</xdr:row>
          <xdr:rowOff>66675</xdr:rowOff>
        </xdr:from>
        <xdr:to>
          <xdr:col>20</xdr:col>
          <xdr:colOff>590550</xdr:colOff>
          <xdr:row>108</xdr:row>
          <xdr:rowOff>104775</xdr:rowOff>
        </xdr:to>
        <xdr:sp macro="" textlink="">
          <xdr:nvSpPr>
            <xdr:cNvPr id="15523" name="Group Box 163" hidden="1">
              <a:extLst>
                <a:ext uri="{63B3BB69-23CF-44E3-9099-C40C66FF867C}">
                  <a14:compatExt spid="_x0000_s15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28. Visito feiras e participo de eventos e cursos correlatos ao meu empreendimento para conhecer novos produtos, serviços e fornecedores.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106</xdr:row>
          <xdr:rowOff>76200</xdr:rowOff>
        </xdr:from>
        <xdr:to>
          <xdr:col>5</xdr:col>
          <xdr:colOff>66675</xdr:colOff>
          <xdr:row>107</xdr:row>
          <xdr:rowOff>104775</xdr:rowOff>
        </xdr:to>
        <xdr:sp macro="" textlink="">
          <xdr:nvSpPr>
            <xdr:cNvPr id="15524" name="Option Button 164" hidden="1">
              <a:extLst>
                <a:ext uri="{63B3BB69-23CF-44E3-9099-C40C66FF867C}">
                  <a14:compatExt spid="_x0000_s15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106</xdr:row>
          <xdr:rowOff>76200</xdr:rowOff>
        </xdr:from>
        <xdr:to>
          <xdr:col>9</xdr:col>
          <xdr:colOff>0</xdr:colOff>
          <xdr:row>107</xdr:row>
          <xdr:rowOff>104775</xdr:rowOff>
        </xdr:to>
        <xdr:sp macro="" textlink="">
          <xdr:nvSpPr>
            <xdr:cNvPr id="15525" name="Option Button 165" hidden="1">
              <a:extLst>
                <a:ext uri="{63B3BB69-23CF-44E3-9099-C40C66FF867C}">
                  <a14:compatExt spid="_x0000_s15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106</xdr:row>
          <xdr:rowOff>76200</xdr:rowOff>
        </xdr:from>
        <xdr:to>
          <xdr:col>12</xdr:col>
          <xdr:colOff>542925</xdr:colOff>
          <xdr:row>107</xdr:row>
          <xdr:rowOff>104775</xdr:rowOff>
        </xdr:to>
        <xdr:sp macro="" textlink="">
          <xdr:nvSpPr>
            <xdr:cNvPr id="15526" name="Option Button 166" hidden="1">
              <a:extLst>
                <a:ext uri="{63B3BB69-23CF-44E3-9099-C40C66FF867C}">
                  <a14:compatExt spid="_x0000_s15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106</xdr:row>
          <xdr:rowOff>76200</xdr:rowOff>
        </xdr:from>
        <xdr:to>
          <xdr:col>16</xdr:col>
          <xdr:colOff>476250</xdr:colOff>
          <xdr:row>107</xdr:row>
          <xdr:rowOff>104775</xdr:rowOff>
        </xdr:to>
        <xdr:sp macro="" textlink="">
          <xdr:nvSpPr>
            <xdr:cNvPr id="15527" name="Option Button 167" hidden="1">
              <a:extLst>
                <a:ext uri="{63B3BB69-23CF-44E3-9099-C40C66FF867C}">
                  <a14:compatExt spid="_x0000_s15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106</xdr:row>
          <xdr:rowOff>76200</xdr:rowOff>
        </xdr:from>
        <xdr:to>
          <xdr:col>20</xdr:col>
          <xdr:colOff>409575</xdr:colOff>
          <xdr:row>107</xdr:row>
          <xdr:rowOff>104775</xdr:rowOff>
        </xdr:to>
        <xdr:sp macro="" textlink="">
          <xdr:nvSpPr>
            <xdr:cNvPr id="15528" name="Option Button 168" hidden="1">
              <a:extLst>
                <a:ext uri="{63B3BB69-23CF-44E3-9099-C40C66FF867C}">
                  <a14:compatExt spid="_x0000_s15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109</xdr:row>
          <xdr:rowOff>0</xdr:rowOff>
        </xdr:from>
        <xdr:to>
          <xdr:col>20</xdr:col>
          <xdr:colOff>590550</xdr:colOff>
          <xdr:row>112</xdr:row>
          <xdr:rowOff>38100</xdr:rowOff>
        </xdr:to>
        <xdr:sp macro="" textlink="">
          <xdr:nvSpPr>
            <xdr:cNvPr id="15529" name="Group Box 169" hidden="1">
              <a:extLst>
                <a:ext uri="{63B3BB69-23CF-44E3-9099-C40C66FF867C}">
                  <a14:compatExt spid="_x0000_s15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29. Encontro oportunidades de novos negócios quando identifico necessidades ou diagnostico problemas reais.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110</xdr:row>
          <xdr:rowOff>9525</xdr:rowOff>
        </xdr:from>
        <xdr:to>
          <xdr:col>5</xdr:col>
          <xdr:colOff>66675</xdr:colOff>
          <xdr:row>111</xdr:row>
          <xdr:rowOff>38100</xdr:rowOff>
        </xdr:to>
        <xdr:sp macro="" textlink="">
          <xdr:nvSpPr>
            <xdr:cNvPr id="15530" name="Option Button 170" hidden="1">
              <a:extLst>
                <a:ext uri="{63B3BB69-23CF-44E3-9099-C40C66FF867C}">
                  <a14:compatExt spid="_x0000_s15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110</xdr:row>
          <xdr:rowOff>9525</xdr:rowOff>
        </xdr:from>
        <xdr:to>
          <xdr:col>9</xdr:col>
          <xdr:colOff>0</xdr:colOff>
          <xdr:row>111</xdr:row>
          <xdr:rowOff>38100</xdr:rowOff>
        </xdr:to>
        <xdr:sp macro="" textlink="">
          <xdr:nvSpPr>
            <xdr:cNvPr id="15531" name="Option Button 171" hidden="1">
              <a:extLst>
                <a:ext uri="{63B3BB69-23CF-44E3-9099-C40C66FF867C}">
                  <a14:compatExt spid="_x0000_s15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110</xdr:row>
          <xdr:rowOff>9525</xdr:rowOff>
        </xdr:from>
        <xdr:to>
          <xdr:col>12</xdr:col>
          <xdr:colOff>542925</xdr:colOff>
          <xdr:row>111</xdr:row>
          <xdr:rowOff>38100</xdr:rowOff>
        </xdr:to>
        <xdr:sp macro="" textlink="">
          <xdr:nvSpPr>
            <xdr:cNvPr id="15532" name="Option Button 172" hidden="1">
              <a:extLst>
                <a:ext uri="{63B3BB69-23CF-44E3-9099-C40C66FF867C}">
                  <a14:compatExt spid="_x0000_s15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110</xdr:row>
          <xdr:rowOff>9525</xdr:rowOff>
        </xdr:from>
        <xdr:to>
          <xdr:col>16</xdr:col>
          <xdr:colOff>476250</xdr:colOff>
          <xdr:row>111</xdr:row>
          <xdr:rowOff>38100</xdr:rowOff>
        </xdr:to>
        <xdr:sp macro="" textlink="">
          <xdr:nvSpPr>
            <xdr:cNvPr id="15533" name="Option Button 173" hidden="1">
              <a:extLst>
                <a:ext uri="{63B3BB69-23CF-44E3-9099-C40C66FF867C}">
                  <a14:compatExt spid="_x0000_s15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110</xdr:row>
          <xdr:rowOff>9525</xdr:rowOff>
        </xdr:from>
        <xdr:to>
          <xdr:col>20</xdr:col>
          <xdr:colOff>409575</xdr:colOff>
          <xdr:row>111</xdr:row>
          <xdr:rowOff>38100</xdr:rowOff>
        </xdr:to>
        <xdr:sp macro="" textlink="">
          <xdr:nvSpPr>
            <xdr:cNvPr id="15534" name="Option Button 174" hidden="1">
              <a:extLst>
                <a:ext uri="{63B3BB69-23CF-44E3-9099-C40C66FF867C}">
                  <a14:compatExt spid="_x0000_s15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112</xdr:row>
          <xdr:rowOff>123825</xdr:rowOff>
        </xdr:from>
        <xdr:to>
          <xdr:col>20</xdr:col>
          <xdr:colOff>590550</xdr:colOff>
          <xdr:row>115</xdr:row>
          <xdr:rowOff>161925</xdr:rowOff>
        </xdr:to>
        <xdr:sp macro="" textlink="">
          <xdr:nvSpPr>
            <xdr:cNvPr id="15535" name="Group Box 175" hidden="1">
              <a:extLst>
                <a:ext uri="{63B3BB69-23CF-44E3-9099-C40C66FF867C}">
                  <a14:compatExt spid="_x0000_s15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30. Realizaria vendas para clientes, ainda que não tenha lucro imediato e respeitando preço mínimo, tendo em vista, futuras possibilidades de outros negócios com eles.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113</xdr:row>
          <xdr:rowOff>133350</xdr:rowOff>
        </xdr:from>
        <xdr:to>
          <xdr:col>5</xdr:col>
          <xdr:colOff>66675</xdr:colOff>
          <xdr:row>114</xdr:row>
          <xdr:rowOff>161925</xdr:rowOff>
        </xdr:to>
        <xdr:sp macro="" textlink="">
          <xdr:nvSpPr>
            <xdr:cNvPr id="15536" name="Option Button 176" hidden="1">
              <a:extLst>
                <a:ext uri="{63B3BB69-23CF-44E3-9099-C40C66FF867C}">
                  <a14:compatExt spid="_x0000_s15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113</xdr:row>
          <xdr:rowOff>133350</xdr:rowOff>
        </xdr:from>
        <xdr:to>
          <xdr:col>9</xdr:col>
          <xdr:colOff>0</xdr:colOff>
          <xdr:row>114</xdr:row>
          <xdr:rowOff>161925</xdr:rowOff>
        </xdr:to>
        <xdr:sp macro="" textlink="">
          <xdr:nvSpPr>
            <xdr:cNvPr id="15537" name="Option Button 177" hidden="1">
              <a:extLst>
                <a:ext uri="{63B3BB69-23CF-44E3-9099-C40C66FF867C}">
                  <a14:compatExt spid="_x0000_s1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113</xdr:row>
          <xdr:rowOff>133350</xdr:rowOff>
        </xdr:from>
        <xdr:to>
          <xdr:col>12</xdr:col>
          <xdr:colOff>542925</xdr:colOff>
          <xdr:row>114</xdr:row>
          <xdr:rowOff>161925</xdr:rowOff>
        </xdr:to>
        <xdr:sp macro="" textlink="">
          <xdr:nvSpPr>
            <xdr:cNvPr id="15538" name="Option Button 178" hidden="1">
              <a:extLst>
                <a:ext uri="{63B3BB69-23CF-44E3-9099-C40C66FF867C}">
                  <a14:compatExt spid="_x0000_s15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113</xdr:row>
          <xdr:rowOff>133350</xdr:rowOff>
        </xdr:from>
        <xdr:to>
          <xdr:col>16</xdr:col>
          <xdr:colOff>476250</xdr:colOff>
          <xdr:row>114</xdr:row>
          <xdr:rowOff>161925</xdr:rowOff>
        </xdr:to>
        <xdr:sp macro="" textlink="">
          <xdr:nvSpPr>
            <xdr:cNvPr id="15539" name="Option Button 179" hidden="1">
              <a:extLst>
                <a:ext uri="{63B3BB69-23CF-44E3-9099-C40C66FF867C}">
                  <a14:compatExt spid="_x0000_s15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113</xdr:row>
          <xdr:rowOff>133350</xdr:rowOff>
        </xdr:from>
        <xdr:to>
          <xdr:col>20</xdr:col>
          <xdr:colOff>409575</xdr:colOff>
          <xdr:row>114</xdr:row>
          <xdr:rowOff>161925</xdr:rowOff>
        </xdr:to>
        <xdr:sp macro="" textlink="">
          <xdr:nvSpPr>
            <xdr:cNvPr id="15540" name="Option Button 180" hidden="1">
              <a:extLst>
                <a:ext uri="{63B3BB69-23CF-44E3-9099-C40C66FF867C}">
                  <a14:compatExt spid="_x0000_s15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371475</xdr:colOff>
      <xdr:row>116</xdr:row>
      <xdr:rowOff>66675</xdr:rowOff>
    </xdr:from>
    <xdr:to>
      <xdr:col>20</xdr:col>
      <xdr:colOff>572328</xdr:colOff>
      <xdr:row>119</xdr:row>
      <xdr:rowOff>74130</xdr:rowOff>
    </xdr:to>
    <xdr:sp macro="[0]!irparamenu" textlink="">
      <xdr:nvSpPr>
        <xdr:cNvPr id="4" name="CaixaDeTexto 3"/>
        <xdr:cNvSpPr txBox="1"/>
      </xdr:nvSpPr>
      <xdr:spPr>
        <a:xfrm>
          <a:off x="10239375" y="23326725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181705</xdr:colOff>
      <xdr:row>1</xdr:row>
      <xdr:rowOff>203940</xdr:rowOff>
    </xdr:to>
    <xdr:pic>
      <xdr:nvPicPr>
        <xdr:cNvPr id="5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1925" y="47625"/>
          <a:ext cx="1962880" cy="442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180975</xdr:rowOff>
        </xdr:from>
        <xdr:to>
          <xdr:col>20</xdr:col>
          <xdr:colOff>590550</xdr:colOff>
          <xdr:row>10</xdr:row>
          <xdr:rowOff>28575</xdr:rowOff>
        </xdr:to>
        <xdr:sp macro="" textlink="">
          <xdr:nvSpPr>
            <xdr:cNvPr id="16385" name="Group Box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1. Quando desconheço algo, não me importo em buscar informações necessárias para o entendimento do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</xdr:row>
          <xdr:rowOff>0</xdr:rowOff>
        </xdr:from>
        <xdr:to>
          <xdr:col>5</xdr:col>
          <xdr:colOff>66675</xdr:colOff>
          <xdr:row>9</xdr:row>
          <xdr:rowOff>28575</xdr:rowOff>
        </xdr:to>
        <xdr:sp macro="" textlink="">
          <xdr:nvSpPr>
            <xdr:cNvPr id="16386" name="Option 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</xdr:row>
          <xdr:rowOff>0</xdr:rowOff>
        </xdr:from>
        <xdr:to>
          <xdr:col>9</xdr:col>
          <xdr:colOff>0</xdr:colOff>
          <xdr:row>9</xdr:row>
          <xdr:rowOff>28575</xdr:rowOff>
        </xdr:to>
        <xdr:sp macro="" textlink="">
          <xdr:nvSpPr>
            <xdr:cNvPr id="16387" name="Option 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</xdr:row>
          <xdr:rowOff>0</xdr:rowOff>
        </xdr:from>
        <xdr:to>
          <xdr:col>12</xdr:col>
          <xdr:colOff>542925</xdr:colOff>
          <xdr:row>9</xdr:row>
          <xdr:rowOff>28575</xdr:rowOff>
        </xdr:to>
        <xdr:sp macro="" textlink="">
          <xdr:nvSpPr>
            <xdr:cNvPr id="16388" name="Option 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</xdr:row>
          <xdr:rowOff>0</xdr:rowOff>
        </xdr:from>
        <xdr:to>
          <xdr:col>16</xdr:col>
          <xdr:colOff>476250</xdr:colOff>
          <xdr:row>9</xdr:row>
          <xdr:rowOff>28575</xdr:rowOff>
        </xdr:to>
        <xdr:sp macro="" textlink="">
          <xdr:nvSpPr>
            <xdr:cNvPr id="16389" name="Option 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</xdr:row>
          <xdr:rowOff>0</xdr:rowOff>
        </xdr:from>
        <xdr:to>
          <xdr:col>20</xdr:col>
          <xdr:colOff>409575</xdr:colOff>
          <xdr:row>9</xdr:row>
          <xdr:rowOff>28575</xdr:rowOff>
        </xdr:to>
        <xdr:sp macro="" textlink="">
          <xdr:nvSpPr>
            <xdr:cNvPr id="16390" name="Option Button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114300</xdr:rowOff>
        </xdr:from>
        <xdr:to>
          <xdr:col>20</xdr:col>
          <xdr:colOff>590550</xdr:colOff>
          <xdr:row>13</xdr:row>
          <xdr:rowOff>152400</xdr:rowOff>
        </xdr:to>
        <xdr:sp macro="" textlink="">
          <xdr:nvSpPr>
            <xdr:cNvPr id="16391" name="Group Box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2. As pessoas concordam comigo baseadas em meus argumentos ou estratégias que adoto.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</xdr:row>
          <xdr:rowOff>123825</xdr:rowOff>
        </xdr:from>
        <xdr:to>
          <xdr:col>5</xdr:col>
          <xdr:colOff>66675</xdr:colOff>
          <xdr:row>12</xdr:row>
          <xdr:rowOff>152400</xdr:rowOff>
        </xdr:to>
        <xdr:sp macro="" textlink="">
          <xdr:nvSpPr>
            <xdr:cNvPr id="16392" name="Option Button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123825</xdr:rowOff>
        </xdr:from>
        <xdr:to>
          <xdr:col>9</xdr:col>
          <xdr:colOff>0</xdr:colOff>
          <xdr:row>12</xdr:row>
          <xdr:rowOff>152400</xdr:rowOff>
        </xdr:to>
        <xdr:sp macro="" textlink="">
          <xdr:nvSpPr>
            <xdr:cNvPr id="16393" name="Option Button 9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123825</xdr:rowOff>
        </xdr:from>
        <xdr:to>
          <xdr:col>12</xdr:col>
          <xdr:colOff>542925</xdr:colOff>
          <xdr:row>12</xdr:row>
          <xdr:rowOff>152400</xdr:rowOff>
        </xdr:to>
        <xdr:sp macro="" textlink="">
          <xdr:nvSpPr>
            <xdr:cNvPr id="16394" name="Option Button 10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11</xdr:row>
          <xdr:rowOff>123825</xdr:rowOff>
        </xdr:from>
        <xdr:to>
          <xdr:col>16</xdr:col>
          <xdr:colOff>476250</xdr:colOff>
          <xdr:row>12</xdr:row>
          <xdr:rowOff>152400</xdr:rowOff>
        </xdr:to>
        <xdr:sp macro="" textlink="">
          <xdr:nvSpPr>
            <xdr:cNvPr id="16395" name="Option 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11</xdr:row>
          <xdr:rowOff>123825</xdr:rowOff>
        </xdr:from>
        <xdr:to>
          <xdr:col>20</xdr:col>
          <xdr:colOff>409575</xdr:colOff>
          <xdr:row>12</xdr:row>
          <xdr:rowOff>152400</xdr:rowOff>
        </xdr:to>
        <xdr:sp macro="" textlink="">
          <xdr:nvSpPr>
            <xdr:cNvPr id="16396" name="Option Button 12" hidden="1">
              <a:extLst>
                <a:ext uri="{63B3BB69-23CF-44E3-9099-C40C66FF867C}">
                  <a14:compatExt spid="_x0000_s16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47625</xdr:rowOff>
        </xdr:from>
        <xdr:to>
          <xdr:col>20</xdr:col>
          <xdr:colOff>590550</xdr:colOff>
          <xdr:row>17</xdr:row>
          <xdr:rowOff>85725</xdr:rowOff>
        </xdr:to>
        <xdr:sp macro="" textlink="">
          <xdr:nvSpPr>
            <xdr:cNvPr id="16397" name="Group Box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3. Escolho situações em que posso controlar ao máximo os resultados finais, considerando as possibilidades de êxito ou fracasso antes de agir.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15</xdr:row>
          <xdr:rowOff>57150</xdr:rowOff>
        </xdr:from>
        <xdr:to>
          <xdr:col>5</xdr:col>
          <xdr:colOff>66675</xdr:colOff>
          <xdr:row>16</xdr:row>
          <xdr:rowOff>85725</xdr:rowOff>
        </xdr:to>
        <xdr:sp macro="" textlink="">
          <xdr:nvSpPr>
            <xdr:cNvPr id="16398" name="Option Button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15</xdr:row>
          <xdr:rowOff>57150</xdr:rowOff>
        </xdr:from>
        <xdr:to>
          <xdr:col>9</xdr:col>
          <xdr:colOff>0</xdr:colOff>
          <xdr:row>16</xdr:row>
          <xdr:rowOff>85725</xdr:rowOff>
        </xdr:to>
        <xdr:sp macro="" textlink="">
          <xdr:nvSpPr>
            <xdr:cNvPr id="16399" name="Option Button 15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57150</xdr:rowOff>
        </xdr:from>
        <xdr:to>
          <xdr:col>12</xdr:col>
          <xdr:colOff>542925</xdr:colOff>
          <xdr:row>16</xdr:row>
          <xdr:rowOff>85725</xdr:rowOff>
        </xdr:to>
        <xdr:sp macro="" textlink="">
          <xdr:nvSpPr>
            <xdr:cNvPr id="16400" name="Option Button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15</xdr:row>
          <xdr:rowOff>57150</xdr:rowOff>
        </xdr:from>
        <xdr:to>
          <xdr:col>16</xdr:col>
          <xdr:colOff>476250</xdr:colOff>
          <xdr:row>16</xdr:row>
          <xdr:rowOff>85725</xdr:rowOff>
        </xdr:to>
        <xdr:sp macro="" textlink="">
          <xdr:nvSpPr>
            <xdr:cNvPr id="16401" name="Option Button 17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15</xdr:row>
          <xdr:rowOff>57150</xdr:rowOff>
        </xdr:from>
        <xdr:to>
          <xdr:col>20</xdr:col>
          <xdr:colOff>409575</xdr:colOff>
          <xdr:row>16</xdr:row>
          <xdr:rowOff>85725</xdr:rowOff>
        </xdr:to>
        <xdr:sp macro="" textlink="">
          <xdr:nvSpPr>
            <xdr:cNvPr id="16402" name="Option Button 18" hidden="1">
              <a:extLst>
                <a:ext uri="{63B3BB69-23CF-44E3-9099-C40C66FF867C}">
                  <a14:compatExt spid="_x0000_s16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171450</xdr:rowOff>
        </xdr:from>
        <xdr:to>
          <xdr:col>20</xdr:col>
          <xdr:colOff>590550</xdr:colOff>
          <xdr:row>21</xdr:row>
          <xdr:rowOff>19050</xdr:rowOff>
        </xdr:to>
        <xdr:sp macro="" textlink="">
          <xdr:nvSpPr>
            <xdr:cNvPr id="16403" name="Group Box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4. Diante das necessidades do mercado, implanto inovações nos produtos/serviços ofertados pelo empreendimento na minha responsabilidade ou amplio a área geográfica de atuação do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18</xdr:row>
          <xdr:rowOff>180975</xdr:rowOff>
        </xdr:from>
        <xdr:to>
          <xdr:col>5</xdr:col>
          <xdr:colOff>66675</xdr:colOff>
          <xdr:row>20</xdr:row>
          <xdr:rowOff>19050</xdr:rowOff>
        </xdr:to>
        <xdr:sp macro="" textlink="">
          <xdr:nvSpPr>
            <xdr:cNvPr id="16404" name="Option Button 20" hidden="1">
              <a:extLst>
                <a:ext uri="{63B3BB69-23CF-44E3-9099-C40C66FF867C}">
                  <a14:compatExt spid="_x0000_s16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18</xdr:row>
          <xdr:rowOff>180975</xdr:rowOff>
        </xdr:from>
        <xdr:to>
          <xdr:col>9</xdr:col>
          <xdr:colOff>0</xdr:colOff>
          <xdr:row>20</xdr:row>
          <xdr:rowOff>19050</xdr:rowOff>
        </xdr:to>
        <xdr:sp macro="" textlink="">
          <xdr:nvSpPr>
            <xdr:cNvPr id="16405" name="Option Button 21" hidden="1">
              <a:extLst>
                <a:ext uri="{63B3BB69-23CF-44E3-9099-C40C66FF867C}">
                  <a14:compatExt spid="_x0000_s16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18</xdr:row>
          <xdr:rowOff>180975</xdr:rowOff>
        </xdr:from>
        <xdr:to>
          <xdr:col>12</xdr:col>
          <xdr:colOff>542925</xdr:colOff>
          <xdr:row>20</xdr:row>
          <xdr:rowOff>19050</xdr:rowOff>
        </xdr:to>
        <xdr:sp macro="" textlink="">
          <xdr:nvSpPr>
            <xdr:cNvPr id="16406" name="Option Button 22" hidden="1">
              <a:extLst>
                <a:ext uri="{63B3BB69-23CF-44E3-9099-C40C66FF867C}">
                  <a14:compatExt spid="_x0000_s16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18</xdr:row>
          <xdr:rowOff>180975</xdr:rowOff>
        </xdr:from>
        <xdr:to>
          <xdr:col>16</xdr:col>
          <xdr:colOff>476250</xdr:colOff>
          <xdr:row>20</xdr:row>
          <xdr:rowOff>19050</xdr:rowOff>
        </xdr:to>
        <xdr:sp macro="" textlink="">
          <xdr:nvSpPr>
            <xdr:cNvPr id="16407" name="Option Button 23" hidden="1">
              <a:extLst>
                <a:ext uri="{63B3BB69-23CF-44E3-9099-C40C66FF867C}">
                  <a14:compatExt spid="_x0000_s16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18</xdr:row>
          <xdr:rowOff>180975</xdr:rowOff>
        </xdr:from>
        <xdr:to>
          <xdr:col>20</xdr:col>
          <xdr:colOff>409575</xdr:colOff>
          <xdr:row>20</xdr:row>
          <xdr:rowOff>19050</xdr:rowOff>
        </xdr:to>
        <xdr:sp macro="" textlink="">
          <xdr:nvSpPr>
            <xdr:cNvPr id="16408" name="Option Button 24" hidden="1">
              <a:extLst>
                <a:ext uri="{63B3BB69-23CF-44E3-9099-C40C66FF867C}">
                  <a14:compatExt spid="_x0000_s16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104775</xdr:rowOff>
        </xdr:from>
        <xdr:to>
          <xdr:col>20</xdr:col>
          <xdr:colOff>590550</xdr:colOff>
          <xdr:row>24</xdr:row>
          <xdr:rowOff>142875</xdr:rowOff>
        </xdr:to>
        <xdr:sp macro="" textlink="">
          <xdr:nvSpPr>
            <xdr:cNvPr id="16409" name="Group Box 25" hidden="1">
              <a:extLst>
                <a:ext uri="{63B3BB69-23CF-44E3-9099-C40C66FF867C}">
                  <a14:compatExt spid="_x0000_s16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5. Reconheço minha responsabilidade nas falhas e eventuais prejuízos financeiros do empreendimento e, além disso, tomo providências para corrigi-los.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22</xdr:row>
          <xdr:rowOff>114300</xdr:rowOff>
        </xdr:from>
        <xdr:to>
          <xdr:col>5</xdr:col>
          <xdr:colOff>66675</xdr:colOff>
          <xdr:row>23</xdr:row>
          <xdr:rowOff>142875</xdr:rowOff>
        </xdr:to>
        <xdr:sp macro="" textlink="">
          <xdr:nvSpPr>
            <xdr:cNvPr id="16410" name="Option Button 26" hidden="1">
              <a:extLst>
                <a:ext uri="{63B3BB69-23CF-44E3-9099-C40C66FF867C}">
                  <a14:compatExt spid="_x0000_s16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22</xdr:row>
          <xdr:rowOff>114300</xdr:rowOff>
        </xdr:from>
        <xdr:to>
          <xdr:col>9</xdr:col>
          <xdr:colOff>0</xdr:colOff>
          <xdr:row>23</xdr:row>
          <xdr:rowOff>142875</xdr:rowOff>
        </xdr:to>
        <xdr:sp macro="" textlink="">
          <xdr:nvSpPr>
            <xdr:cNvPr id="16411" name="Option Button 27" hidden="1">
              <a:extLst>
                <a:ext uri="{63B3BB69-23CF-44E3-9099-C40C66FF867C}">
                  <a14:compatExt spid="_x0000_s16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114300</xdr:rowOff>
        </xdr:from>
        <xdr:to>
          <xdr:col>12</xdr:col>
          <xdr:colOff>542925</xdr:colOff>
          <xdr:row>23</xdr:row>
          <xdr:rowOff>142875</xdr:rowOff>
        </xdr:to>
        <xdr:sp macro="" textlink="">
          <xdr:nvSpPr>
            <xdr:cNvPr id="16412" name="Option Button 28" hidden="1">
              <a:extLst>
                <a:ext uri="{63B3BB69-23CF-44E3-9099-C40C66FF867C}">
                  <a14:compatExt spid="_x0000_s16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22</xdr:row>
          <xdr:rowOff>114300</xdr:rowOff>
        </xdr:from>
        <xdr:to>
          <xdr:col>16</xdr:col>
          <xdr:colOff>476250</xdr:colOff>
          <xdr:row>23</xdr:row>
          <xdr:rowOff>142875</xdr:rowOff>
        </xdr:to>
        <xdr:sp macro="" textlink="">
          <xdr:nvSpPr>
            <xdr:cNvPr id="16413" name="Option Button 29" hidden="1">
              <a:extLst>
                <a:ext uri="{63B3BB69-23CF-44E3-9099-C40C66FF867C}">
                  <a14:compatExt spid="_x0000_s16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22</xdr:row>
          <xdr:rowOff>114300</xdr:rowOff>
        </xdr:from>
        <xdr:to>
          <xdr:col>20</xdr:col>
          <xdr:colOff>409575</xdr:colOff>
          <xdr:row>23</xdr:row>
          <xdr:rowOff>142875</xdr:rowOff>
        </xdr:to>
        <xdr:sp macro="" textlink="">
          <xdr:nvSpPr>
            <xdr:cNvPr id="16414" name="Option Button 30" hidden="1">
              <a:extLst>
                <a:ext uri="{63B3BB69-23CF-44E3-9099-C40C66FF867C}">
                  <a14:compatExt spid="_x0000_s16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38100</xdr:rowOff>
        </xdr:from>
        <xdr:to>
          <xdr:col>20</xdr:col>
          <xdr:colOff>590550</xdr:colOff>
          <xdr:row>28</xdr:row>
          <xdr:rowOff>76200</xdr:rowOff>
        </xdr:to>
        <xdr:sp macro="" textlink="">
          <xdr:nvSpPr>
            <xdr:cNvPr id="16415" name="Group Box 31" hidden="1">
              <a:extLst>
                <a:ext uri="{63B3BB69-23CF-44E3-9099-C40C66FF867C}">
                  <a14:compatExt spid="_x0000_s16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6. Acredito que posso ser bem sucedido em qualquer atividade que me proponho executar, mesmo sendo algo difícil ou desafiador.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26</xdr:row>
          <xdr:rowOff>47625</xdr:rowOff>
        </xdr:from>
        <xdr:to>
          <xdr:col>5</xdr:col>
          <xdr:colOff>66675</xdr:colOff>
          <xdr:row>27</xdr:row>
          <xdr:rowOff>76200</xdr:rowOff>
        </xdr:to>
        <xdr:sp macro="" textlink="">
          <xdr:nvSpPr>
            <xdr:cNvPr id="16416" name="Option Button 32" hidden="1">
              <a:extLst>
                <a:ext uri="{63B3BB69-23CF-44E3-9099-C40C66FF867C}">
                  <a14:compatExt spid="_x0000_s16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47625</xdr:rowOff>
        </xdr:from>
        <xdr:to>
          <xdr:col>9</xdr:col>
          <xdr:colOff>0</xdr:colOff>
          <xdr:row>27</xdr:row>
          <xdr:rowOff>76200</xdr:rowOff>
        </xdr:to>
        <xdr:sp macro="" textlink="">
          <xdr:nvSpPr>
            <xdr:cNvPr id="16417" name="Option Button 33" hidden="1">
              <a:extLst>
                <a:ext uri="{63B3BB69-23CF-44E3-9099-C40C66FF867C}">
                  <a14:compatExt spid="_x0000_s16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47625</xdr:rowOff>
        </xdr:from>
        <xdr:to>
          <xdr:col>12</xdr:col>
          <xdr:colOff>542925</xdr:colOff>
          <xdr:row>27</xdr:row>
          <xdr:rowOff>76200</xdr:rowOff>
        </xdr:to>
        <xdr:sp macro="" textlink="">
          <xdr:nvSpPr>
            <xdr:cNvPr id="16418" name="Option Button 34" hidden="1">
              <a:extLst>
                <a:ext uri="{63B3BB69-23CF-44E3-9099-C40C66FF867C}">
                  <a14:compatExt spid="_x0000_s16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26</xdr:row>
          <xdr:rowOff>47625</xdr:rowOff>
        </xdr:from>
        <xdr:to>
          <xdr:col>16</xdr:col>
          <xdr:colOff>476250</xdr:colOff>
          <xdr:row>27</xdr:row>
          <xdr:rowOff>76200</xdr:rowOff>
        </xdr:to>
        <xdr:sp macro="" textlink="">
          <xdr:nvSpPr>
            <xdr:cNvPr id="16419" name="Option Button 35" hidden="1">
              <a:extLst>
                <a:ext uri="{63B3BB69-23CF-44E3-9099-C40C66FF867C}">
                  <a14:compatExt spid="_x0000_s16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26</xdr:row>
          <xdr:rowOff>47625</xdr:rowOff>
        </xdr:from>
        <xdr:to>
          <xdr:col>20</xdr:col>
          <xdr:colOff>409575</xdr:colOff>
          <xdr:row>27</xdr:row>
          <xdr:rowOff>76200</xdr:rowOff>
        </xdr:to>
        <xdr:sp macro="" textlink="">
          <xdr:nvSpPr>
            <xdr:cNvPr id="16420" name="Option Button 36" hidden="1">
              <a:extLst>
                <a:ext uri="{63B3BB69-23CF-44E3-9099-C40C66FF867C}">
                  <a14:compatExt spid="_x0000_s16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133350</xdr:rowOff>
        </xdr:from>
        <xdr:to>
          <xdr:col>20</xdr:col>
          <xdr:colOff>590550</xdr:colOff>
          <xdr:row>31</xdr:row>
          <xdr:rowOff>171450</xdr:rowOff>
        </xdr:to>
        <xdr:sp macro="" textlink="">
          <xdr:nvSpPr>
            <xdr:cNvPr id="16421" name="Group Box 37" hidden="1">
              <a:extLst>
                <a:ext uri="{63B3BB69-23CF-44E3-9099-C40C66FF867C}">
                  <a14:compatExt spid="_x0000_s16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7. Meu rendimento no trabalho é bastante eficaz, pois faço as coisas de acordo com o estabelecido, dando ênfase à otimização do tempo.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29</xdr:row>
          <xdr:rowOff>142875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6422" name="Option Button 38" hidden="1">
              <a:extLst>
                <a:ext uri="{63B3BB69-23CF-44E3-9099-C40C66FF867C}">
                  <a14:compatExt spid="_x0000_s16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29</xdr:row>
          <xdr:rowOff>142875</xdr:rowOff>
        </xdr:from>
        <xdr:to>
          <xdr:col>9</xdr:col>
          <xdr:colOff>0</xdr:colOff>
          <xdr:row>30</xdr:row>
          <xdr:rowOff>171450</xdr:rowOff>
        </xdr:to>
        <xdr:sp macro="" textlink="">
          <xdr:nvSpPr>
            <xdr:cNvPr id="16423" name="Option Button 39" hidden="1">
              <a:extLst>
                <a:ext uri="{63B3BB69-23CF-44E3-9099-C40C66FF867C}">
                  <a14:compatExt spid="_x0000_s16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142875</xdr:rowOff>
        </xdr:from>
        <xdr:to>
          <xdr:col>12</xdr:col>
          <xdr:colOff>542925</xdr:colOff>
          <xdr:row>30</xdr:row>
          <xdr:rowOff>171450</xdr:rowOff>
        </xdr:to>
        <xdr:sp macro="" textlink="">
          <xdr:nvSpPr>
            <xdr:cNvPr id="16424" name="Option Button 40" hidden="1">
              <a:extLst>
                <a:ext uri="{63B3BB69-23CF-44E3-9099-C40C66FF867C}">
                  <a14:compatExt spid="_x0000_s16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29</xdr:row>
          <xdr:rowOff>142875</xdr:rowOff>
        </xdr:from>
        <xdr:to>
          <xdr:col>16</xdr:col>
          <xdr:colOff>476250</xdr:colOff>
          <xdr:row>30</xdr:row>
          <xdr:rowOff>171450</xdr:rowOff>
        </xdr:to>
        <xdr:sp macro="" textlink="">
          <xdr:nvSpPr>
            <xdr:cNvPr id="16425" name="Option Button 41" hidden="1">
              <a:extLst>
                <a:ext uri="{63B3BB69-23CF-44E3-9099-C40C66FF867C}">
                  <a14:compatExt spid="_x0000_s16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29</xdr:row>
          <xdr:rowOff>142875</xdr:rowOff>
        </xdr:from>
        <xdr:to>
          <xdr:col>20</xdr:col>
          <xdr:colOff>409575</xdr:colOff>
          <xdr:row>30</xdr:row>
          <xdr:rowOff>171450</xdr:rowOff>
        </xdr:to>
        <xdr:sp macro="" textlink="">
          <xdr:nvSpPr>
            <xdr:cNvPr id="16426" name="Option Button 42" hidden="1">
              <a:extLst>
                <a:ext uri="{63B3BB69-23CF-44E3-9099-C40C66FF867C}">
                  <a14:compatExt spid="_x0000_s16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66675</xdr:rowOff>
        </xdr:from>
        <xdr:to>
          <xdr:col>20</xdr:col>
          <xdr:colOff>590550</xdr:colOff>
          <xdr:row>35</xdr:row>
          <xdr:rowOff>104775</xdr:rowOff>
        </xdr:to>
        <xdr:sp macro="" textlink="">
          <xdr:nvSpPr>
            <xdr:cNvPr id="16427" name="Group Box 43" hidden="1">
              <a:extLst>
                <a:ext uri="{63B3BB69-23CF-44E3-9099-C40C66FF867C}">
                  <a14:compatExt spid="_x0000_s16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8. Não acredito que a minha opinião seja mais importante do que de outras pessoas sobre o que eu faço e a maneira como faço.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33</xdr:row>
          <xdr:rowOff>76200</xdr:rowOff>
        </xdr:from>
        <xdr:to>
          <xdr:col>5</xdr:col>
          <xdr:colOff>66675</xdr:colOff>
          <xdr:row>34</xdr:row>
          <xdr:rowOff>104775</xdr:rowOff>
        </xdr:to>
        <xdr:sp macro="" textlink="">
          <xdr:nvSpPr>
            <xdr:cNvPr id="16428" name="Option Button 44" hidden="1">
              <a:extLst>
                <a:ext uri="{63B3BB69-23CF-44E3-9099-C40C66FF867C}">
                  <a14:compatExt spid="_x0000_s16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33</xdr:row>
          <xdr:rowOff>76200</xdr:rowOff>
        </xdr:from>
        <xdr:to>
          <xdr:col>9</xdr:col>
          <xdr:colOff>0</xdr:colOff>
          <xdr:row>34</xdr:row>
          <xdr:rowOff>104775</xdr:rowOff>
        </xdr:to>
        <xdr:sp macro="" textlink="">
          <xdr:nvSpPr>
            <xdr:cNvPr id="16429" name="Option Button 45" hidden="1">
              <a:extLst>
                <a:ext uri="{63B3BB69-23CF-44E3-9099-C40C66FF867C}">
                  <a14:compatExt spid="_x0000_s16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76200</xdr:rowOff>
        </xdr:from>
        <xdr:to>
          <xdr:col>12</xdr:col>
          <xdr:colOff>542925</xdr:colOff>
          <xdr:row>34</xdr:row>
          <xdr:rowOff>104775</xdr:rowOff>
        </xdr:to>
        <xdr:sp macro="" textlink="">
          <xdr:nvSpPr>
            <xdr:cNvPr id="16430" name="Option Button 46" hidden="1">
              <a:extLst>
                <a:ext uri="{63B3BB69-23CF-44E3-9099-C40C66FF867C}">
                  <a14:compatExt spid="_x0000_s16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33</xdr:row>
          <xdr:rowOff>76200</xdr:rowOff>
        </xdr:from>
        <xdr:to>
          <xdr:col>16</xdr:col>
          <xdr:colOff>476250</xdr:colOff>
          <xdr:row>34</xdr:row>
          <xdr:rowOff>104775</xdr:rowOff>
        </xdr:to>
        <xdr:sp macro="" textlink="">
          <xdr:nvSpPr>
            <xdr:cNvPr id="16431" name="Option Button 47" hidden="1">
              <a:extLst>
                <a:ext uri="{63B3BB69-23CF-44E3-9099-C40C66FF867C}">
                  <a14:compatExt spid="_x0000_s16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33</xdr:row>
          <xdr:rowOff>76200</xdr:rowOff>
        </xdr:from>
        <xdr:to>
          <xdr:col>20</xdr:col>
          <xdr:colOff>409575</xdr:colOff>
          <xdr:row>34</xdr:row>
          <xdr:rowOff>104775</xdr:rowOff>
        </xdr:to>
        <xdr:sp macro="" textlink="">
          <xdr:nvSpPr>
            <xdr:cNvPr id="16432" name="Option Button 48" hidden="1">
              <a:extLst>
                <a:ext uri="{63B3BB69-23CF-44E3-9099-C40C66FF867C}">
                  <a14:compatExt spid="_x0000_s16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0</xdr:rowOff>
        </xdr:from>
        <xdr:to>
          <xdr:col>20</xdr:col>
          <xdr:colOff>590550</xdr:colOff>
          <xdr:row>39</xdr:row>
          <xdr:rowOff>38100</xdr:rowOff>
        </xdr:to>
        <xdr:sp macro="" textlink="">
          <xdr:nvSpPr>
            <xdr:cNvPr id="16433" name="Group Box 49" hidden="1">
              <a:extLst>
                <a:ext uri="{63B3BB69-23CF-44E3-9099-C40C66FF867C}">
                  <a14:compatExt spid="_x0000_s16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9.Executo minhas atividades e supervisiono as atividades dos funcionários no dia a dia do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37</xdr:row>
          <xdr:rowOff>9525</xdr:rowOff>
        </xdr:from>
        <xdr:to>
          <xdr:col>5</xdr:col>
          <xdr:colOff>66675</xdr:colOff>
          <xdr:row>38</xdr:row>
          <xdr:rowOff>38100</xdr:rowOff>
        </xdr:to>
        <xdr:sp macro="" textlink="">
          <xdr:nvSpPr>
            <xdr:cNvPr id="16434" name="Option Button 50" hidden="1">
              <a:extLst>
                <a:ext uri="{63B3BB69-23CF-44E3-9099-C40C66FF867C}">
                  <a14:compatExt spid="_x0000_s16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37</xdr:row>
          <xdr:rowOff>9525</xdr:rowOff>
        </xdr:from>
        <xdr:to>
          <xdr:col>9</xdr:col>
          <xdr:colOff>0</xdr:colOff>
          <xdr:row>38</xdr:row>
          <xdr:rowOff>38100</xdr:rowOff>
        </xdr:to>
        <xdr:sp macro="" textlink="">
          <xdr:nvSpPr>
            <xdr:cNvPr id="16435" name="Option Button 51" hidden="1">
              <a:extLst>
                <a:ext uri="{63B3BB69-23CF-44E3-9099-C40C66FF867C}">
                  <a14:compatExt spid="_x0000_s16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9525</xdr:rowOff>
        </xdr:from>
        <xdr:to>
          <xdr:col>12</xdr:col>
          <xdr:colOff>542925</xdr:colOff>
          <xdr:row>38</xdr:row>
          <xdr:rowOff>38100</xdr:rowOff>
        </xdr:to>
        <xdr:sp macro="" textlink="">
          <xdr:nvSpPr>
            <xdr:cNvPr id="16436" name="Option Button 52" hidden="1">
              <a:extLst>
                <a:ext uri="{63B3BB69-23CF-44E3-9099-C40C66FF867C}">
                  <a14:compatExt spid="_x0000_s16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37</xdr:row>
          <xdr:rowOff>9525</xdr:rowOff>
        </xdr:from>
        <xdr:to>
          <xdr:col>16</xdr:col>
          <xdr:colOff>476250</xdr:colOff>
          <xdr:row>38</xdr:row>
          <xdr:rowOff>38100</xdr:rowOff>
        </xdr:to>
        <xdr:sp macro="" textlink="">
          <xdr:nvSpPr>
            <xdr:cNvPr id="16437" name="Option Button 53" hidden="1">
              <a:extLst>
                <a:ext uri="{63B3BB69-23CF-44E3-9099-C40C66FF867C}">
                  <a14:compatExt spid="_x0000_s16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37</xdr:row>
          <xdr:rowOff>9525</xdr:rowOff>
        </xdr:from>
        <xdr:to>
          <xdr:col>20</xdr:col>
          <xdr:colOff>409575</xdr:colOff>
          <xdr:row>38</xdr:row>
          <xdr:rowOff>38100</xdr:rowOff>
        </xdr:to>
        <xdr:sp macro="" textlink="">
          <xdr:nvSpPr>
            <xdr:cNvPr id="16438" name="Option Button 54" hidden="1">
              <a:extLst>
                <a:ext uri="{63B3BB69-23CF-44E3-9099-C40C66FF867C}">
                  <a14:compatExt spid="_x0000_s16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123825</xdr:rowOff>
        </xdr:from>
        <xdr:to>
          <xdr:col>20</xdr:col>
          <xdr:colOff>590550</xdr:colOff>
          <xdr:row>42</xdr:row>
          <xdr:rowOff>161925</xdr:rowOff>
        </xdr:to>
        <xdr:sp macro="" textlink="">
          <xdr:nvSpPr>
            <xdr:cNvPr id="16439" name="Group Box 55" hidden="1">
              <a:extLst>
                <a:ext uri="{63B3BB69-23CF-44E3-9099-C40C66FF867C}">
                  <a14:compatExt spid="_x0000_s16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10. Adoto como parâmetro nas negociações, o ditado: "quem não arrisca, não petisca".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40</xdr:row>
          <xdr:rowOff>133350</xdr:rowOff>
        </xdr:from>
        <xdr:to>
          <xdr:col>5</xdr:col>
          <xdr:colOff>66675</xdr:colOff>
          <xdr:row>41</xdr:row>
          <xdr:rowOff>161925</xdr:rowOff>
        </xdr:to>
        <xdr:sp macro="" textlink="">
          <xdr:nvSpPr>
            <xdr:cNvPr id="16440" name="Option Button 56" hidden="1">
              <a:extLst>
                <a:ext uri="{63B3BB69-23CF-44E3-9099-C40C66FF867C}">
                  <a14:compatExt spid="_x0000_s16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40</xdr:row>
          <xdr:rowOff>133350</xdr:rowOff>
        </xdr:from>
        <xdr:to>
          <xdr:col>9</xdr:col>
          <xdr:colOff>0</xdr:colOff>
          <xdr:row>41</xdr:row>
          <xdr:rowOff>161925</xdr:rowOff>
        </xdr:to>
        <xdr:sp macro="" textlink="">
          <xdr:nvSpPr>
            <xdr:cNvPr id="16441" name="Option Button 57" hidden="1">
              <a:extLst>
                <a:ext uri="{63B3BB69-23CF-44E3-9099-C40C66FF867C}">
                  <a14:compatExt spid="_x0000_s16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133350</xdr:rowOff>
        </xdr:from>
        <xdr:to>
          <xdr:col>12</xdr:col>
          <xdr:colOff>542925</xdr:colOff>
          <xdr:row>41</xdr:row>
          <xdr:rowOff>161925</xdr:rowOff>
        </xdr:to>
        <xdr:sp macro="" textlink="">
          <xdr:nvSpPr>
            <xdr:cNvPr id="16442" name="Option Button 58" hidden="1">
              <a:extLst>
                <a:ext uri="{63B3BB69-23CF-44E3-9099-C40C66FF867C}">
                  <a14:compatExt spid="_x0000_s16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40</xdr:row>
          <xdr:rowOff>133350</xdr:rowOff>
        </xdr:from>
        <xdr:to>
          <xdr:col>16</xdr:col>
          <xdr:colOff>476250</xdr:colOff>
          <xdr:row>41</xdr:row>
          <xdr:rowOff>161925</xdr:rowOff>
        </xdr:to>
        <xdr:sp macro="" textlink="">
          <xdr:nvSpPr>
            <xdr:cNvPr id="16443" name="Option Button 59" hidden="1">
              <a:extLst>
                <a:ext uri="{63B3BB69-23CF-44E3-9099-C40C66FF867C}">
                  <a14:compatExt spid="_x0000_s16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40</xdr:row>
          <xdr:rowOff>133350</xdr:rowOff>
        </xdr:from>
        <xdr:to>
          <xdr:col>20</xdr:col>
          <xdr:colOff>409575</xdr:colOff>
          <xdr:row>41</xdr:row>
          <xdr:rowOff>161925</xdr:rowOff>
        </xdr:to>
        <xdr:sp macro="" textlink="">
          <xdr:nvSpPr>
            <xdr:cNvPr id="16444" name="Option Button 60" hidden="1">
              <a:extLst>
                <a:ext uri="{63B3BB69-23CF-44E3-9099-C40C66FF867C}">
                  <a14:compatExt spid="_x0000_s16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57150</xdr:rowOff>
        </xdr:from>
        <xdr:to>
          <xdr:col>20</xdr:col>
          <xdr:colOff>590550</xdr:colOff>
          <xdr:row>46</xdr:row>
          <xdr:rowOff>95250</xdr:rowOff>
        </xdr:to>
        <xdr:sp macro="" textlink="">
          <xdr:nvSpPr>
            <xdr:cNvPr id="16445" name="Group Box 61" hidden="1">
              <a:extLst>
                <a:ext uri="{63B3BB69-23CF-44E3-9099-C40C66FF867C}">
                  <a14:compatExt spid="_x0000_s16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11. Busco toda e qualquer informação disponível no mercado para utilizar no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44</xdr:row>
          <xdr:rowOff>66675</xdr:rowOff>
        </xdr:from>
        <xdr:to>
          <xdr:col>5</xdr:col>
          <xdr:colOff>66675</xdr:colOff>
          <xdr:row>45</xdr:row>
          <xdr:rowOff>95250</xdr:rowOff>
        </xdr:to>
        <xdr:sp macro="" textlink="">
          <xdr:nvSpPr>
            <xdr:cNvPr id="16446" name="Option Button 62" hidden="1">
              <a:extLst>
                <a:ext uri="{63B3BB69-23CF-44E3-9099-C40C66FF867C}">
                  <a14:compatExt spid="_x0000_s16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44</xdr:row>
          <xdr:rowOff>66675</xdr:rowOff>
        </xdr:from>
        <xdr:to>
          <xdr:col>9</xdr:col>
          <xdr:colOff>0</xdr:colOff>
          <xdr:row>45</xdr:row>
          <xdr:rowOff>95250</xdr:rowOff>
        </xdr:to>
        <xdr:sp macro="" textlink="">
          <xdr:nvSpPr>
            <xdr:cNvPr id="16447" name="Option Button 63" hidden="1">
              <a:extLst>
                <a:ext uri="{63B3BB69-23CF-44E3-9099-C40C66FF867C}">
                  <a14:compatExt spid="_x0000_s16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44</xdr:row>
          <xdr:rowOff>66675</xdr:rowOff>
        </xdr:from>
        <xdr:to>
          <xdr:col>12</xdr:col>
          <xdr:colOff>542925</xdr:colOff>
          <xdr:row>45</xdr:row>
          <xdr:rowOff>95250</xdr:rowOff>
        </xdr:to>
        <xdr:sp macro="" textlink="">
          <xdr:nvSpPr>
            <xdr:cNvPr id="16448" name="Option Button 64" hidden="1">
              <a:extLst>
                <a:ext uri="{63B3BB69-23CF-44E3-9099-C40C66FF867C}">
                  <a14:compatExt spid="_x0000_s16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44</xdr:row>
          <xdr:rowOff>66675</xdr:rowOff>
        </xdr:from>
        <xdr:to>
          <xdr:col>16</xdr:col>
          <xdr:colOff>476250</xdr:colOff>
          <xdr:row>45</xdr:row>
          <xdr:rowOff>95250</xdr:rowOff>
        </xdr:to>
        <xdr:sp macro="" textlink="">
          <xdr:nvSpPr>
            <xdr:cNvPr id="16449" name="Option Button 65" hidden="1">
              <a:extLst>
                <a:ext uri="{63B3BB69-23CF-44E3-9099-C40C66FF867C}">
                  <a14:compatExt spid="_x0000_s16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44</xdr:row>
          <xdr:rowOff>66675</xdr:rowOff>
        </xdr:from>
        <xdr:to>
          <xdr:col>20</xdr:col>
          <xdr:colOff>409575</xdr:colOff>
          <xdr:row>45</xdr:row>
          <xdr:rowOff>95250</xdr:rowOff>
        </xdr:to>
        <xdr:sp macro="" textlink="">
          <xdr:nvSpPr>
            <xdr:cNvPr id="16450" name="Option Button 66" hidden="1">
              <a:extLst>
                <a:ext uri="{63B3BB69-23CF-44E3-9099-C40C66FF867C}">
                  <a14:compatExt spid="_x0000_s16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180975</xdr:rowOff>
        </xdr:from>
        <xdr:to>
          <xdr:col>20</xdr:col>
          <xdr:colOff>590550</xdr:colOff>
          <xdr:row>50</xdr:row>
          <xdr:rowOff>28575</xdr:rowOff>
        </xdr:to>
        <xdr:sp macro="" textlink="">
          <xdr:nvSpPr>
            <xdr:cNvPr id="16451" name="Group Box 67" hidden="1">
              <a:extLst>
                <a:ext uri="{63B3BB69-23CF-44E3-9099-C40C66FF867C}">
                  <a14:compatExt spid="_x0000_s16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12. Sei, de forma clara, o que quero alcançar no horizonte de médio e longo prazos e estabeleço parâmetros que permitam pedir e avaliar o meu desempenho.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48</xdr:row>
          <xdr:rowOff>0</xdr:rowOff>
        </xdr:from>
        <xdr:to>
          <xdr:col>5</xdr:col>
          <xdr:colOff>66675</xdr:colOff>
          <xdr:row>49</xdr:row>
          <xdr:rowOff>28575</xdr:rowOff>
        </xdr:to>
        <xdr:sp macro="" textlink="">
          <xdr:nvSpPr>
            <xdr:cNvPr id="16452" name="Option Button 68" hidden="1">
              <a:extLst>
                <a:ext uri="{63B3BB69-23CF-44E3-9099-C40C66FF867C}">
                  <a14:compatExt spid="_x0000_s16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48</xdr:row>
          <xdr:rowOff>0</xdr:rowOff>
        </xdr:from>
        <xdr:to>
          <xdr:col>9</xdr:col>
          <xdr:colOff>0</xdr:colOff>
          <xdr:row>49</xdr:row>
          <xdr:rowOff>28575</xdr:rowOff>
        </xdr:to>
        <xdr:sp macro="" textlink="">
          <xdr:nvSpPr>
            <xdr:cNvPr id="16453" name="Option Button 69" hidden="1">
              <a:extLst>
                <a:ext uri="{63B3BB69-23CF-44E3-9099-C40C66FF867C}">
                  <a14:compatExt spid="_x0000_s16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48</xdr:row>
          <xdr:rowOff>0</xdr:rowOff>
        </xdr:from>
        <xdr:to>
          <xdr:col>12</xdr:col>
          <xdr:colOff>542925</xdr:colOff>
          <xdr:row>49</xdr:row>
          <xdr:rowOff>28575</xdr:rowOff>
        </xdr:to>
        <xdr:sp macro="" textlink="">
          <xdr:nvSpPr>
            <xdr:cNvPr id="16454" name="Option Button 70" hidden="1">
              <a:extLst>
                <a:ext uri="{63B3BB69-23CF-44E3-9099-C40C66FF867C}">
                  <a14:compatExt spid="_x0000_s16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48</xdr:row>
          <xdr:rowOff>0</xdr:rowOff>
        </xdr:from>
        <xdr:to>
          <xdr:col>16</xdr:col>
          <xdr:colOff>476250</xdr:colOff>
          <xdr:row>49</xdr:row>
          <xdr:rowOff>28575</xdr:rowOff>
        </xdr:to>
        <xdr:sp macro="" textlink="">
          <xdr:nvSpPr>
            <xdr:cNvPr id="16455" name="Option Button 71" hidden="1">
              <a:extLst>
                <a:ext uri="{63B3BB69-23CF-44E3-9099-C40C66FF867C}">
                  <a14:compatExt spid="_x0000_s16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48</xdr:row>
          <xdr:rowOff>0</xdr:rowOff>
        </xdr:from>
        <xdr:to>
          <xdr:col>20</xdr:col>
          <xdr:colOff>409575</xdr:colOff>
          <xdr:row>49</xdr:row>
          <xdr:rowOff>28575</xdr:rowOff>
        </xdr:to>
        <xdr:sp macro="" textlink="">
          <xdr:nvSpPr>
            <xdr:cNvPr id="16456" name="Option Button 72" hidden="1">
              <a:extLst>
                <a:ext uri="{63B3BB69-23CF-44E3-9099-C40C66FF867C}">
                  <a14:compatExt spid="_x0000_s16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114300</xdr:rowOff>
        </xdr:from>
        <xdr:to>
          <xdr:col>20</xdr:col>
          <xdr:colOff>590550</xdr:colOff>
          <xdr:row>53</xdr:row>
          <xdr:rowOff>152400</xdr:rowOff>
        </xdr:to>
        <xdr:sp macro="" textlink="">
          <xdr:nvSpPr>
            <xdr:cNvPr id="16457" name="Group Box 73" hidden="1">
              <a:extLst>
                <a:ext uri="{63B3BB69-23CF-44E3-9099-C40C66FF867C}">
                  <a14:compatExt spid="_x0000_s16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13. Faço as coisas preocupando-me com meus clientes, pois eles sempre têm razão e estão acima de qualquer coisa.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51</xdr:row>
          <xdr:rowOff>123825</xdr:rowOff>
        </xdr:from>
        <xdr:to>
          <xdr:col>5</xdr:col>
          <xdr:colOff>66675</xdr:colOff>
          <xdr:row>52</xdr:row>
          <xdr:rowOff>152400</xdr:rowOff>
        </xdr:to>
        <xdr:sp macro="" textlink="">
          <xdr:nvSpPr>
            <xdr:cNvPr id="16458" name="Option Button 74" hidden="1">
              <a:extLst>
                <a:ext uri="{63B3BB69-23CF-44E3-9099-C40C66FF867C}">
                  <a14:compatExt spid="_x0000_s16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51</xdr:row>
          <xdr:rowOff>123825</xdr:rowOff>
        </xdr:from>
        <xdr:to>
          <xdr:col>9</xdr:col>
          <xdr:colOff>0</xdr:colOff>
          <xdr:row>52</xdr:row>
          <xdr:rowOff>152400</xdr:rowOff>
        </xdr:to>
        <xdr:sp macro="" textlink="">
          <xdr:nvSpPr>
            <xdr:cNvPr id="16459" name="Option Button 75" hidden="1">
              <a:extLst>
                <a:ext uri="{63B3BB69-23CF-44E3-9099-C40C66FF867C}">
                  <a14:compatExt spid="_x0000_s16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51</xdr:row>
          <xdr:rowOff>123825</xdr:rowOff>
        </xdr:from>
        <xdr:to>
          <xdr:col>12</xdr:col>
          <xdr:colOff>542925</xdr:colOff>
          <xdr:row>52</xdr:row>
          <xdr:rowOff>152400</xdr:rowOff>
        </xdr:to>
        <xdr:sp macro="" textlink="">
          <xdr:nvSpPr>
            <xdr:cNvPr id="16460" name="Option Button 76" hidden="1">
              <a:extLst>
                <a:ext uri="{63B3BB69-23CF-44E3-9099-C40C66FF867C}">
                  <a14:compatExt spid="_x0000_s16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51</xdr:row>
          <xdr:rowOff>123825</xdr:rowOff>
        </xdr:from>
        <xdr:to>
          <xdr:col>16</xdr:col>
          <xdr:colOff>476250</xdr:colOff>
          <xdr:row>52</xdr:row>
          <xdr:rowOff>152400</xdr:rowOff>
        </xdr:to>
        <xdr:sp macro="" textlink="">
          <xdr:nvSpPr>
            <xdr:cNvPr id="16461" name="Option Button 77" hidden="1">
              <a:extLst>
                <a:ext uri="{63B3BB69-23CF-44E3-9099-C40C66FF867C}">
                  <a14:compatExt spid="_x0000_s16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51</xdr:row>
          <xdr:rowOff>123825</xdr:rowOff>
        </xdr:from>
        <xdr:to>
          <xdr:col>20</xdr:col>
          <xdr:colOff>409575</xdr:colOff>
          <xdr:row>52</xdr:row>
          <xdr:rowOff>152400</xdr:rowOff>
        </xdr:to>
        <xdr:sp macro="" textlink="">
          <xdr:nvSpPr>
            <xdr:cNvPr id="16462" name="Option Button 78" hidden="1">
              <a:extLst>
                <a:ext uri="{63B3BB69-23CF-44E3-9099-C40C66FF867C}">
                  <a14:compatExt spid="_x0000_s16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47625</xdr:rowOff>
        </xdr:from>
        <xdr:to>
          <xdr:col>20</xdr:col>
          <xdr:colOff>590550</xdr:colOff>
          <xdr:row>57</xdr:row>
          <xdr:rowOff>85725</xdr:rowOff>
        </xdr:to>
        <xdr:sp macro="" textlink="">
          <xdr:nvSpPr>
            <xdr:cNvPr id="16463" name="Group Box 79" hidden="1">
              <a:extLst>
                <a:ext uri="{63B3BB69-23CF-44E3-9099-C40C66FF867C}">
                  <a14:compatExt spid="_x0000_s16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14. Não é comum definir, a cada dia, o percentual de lucro que quero obter com 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55</xdr:row>
          <xdr:rowOff>57150</xdr:rowOff>
        </xdr:from>
        <xdr:to>
          <xdr:col>5</xdr:col>
          <xdr:colOff>66675</xdr:colOff>
          <xdr:row>56</xdr:row>
          <xdr:rowOff>85725</xdr:rowOff>
        </xdr:to>
        <xdr:sp macro="" textlink="">
          <xdr:nvSpPr>
            <xdr:cNvPr id="16464" name="Option Button 80" hidden="1">
              <a:extLst>
                <a:ext uri="{63B3BB69-23CF-44E3-9099-C40C66FF867C}">
                  <a14:compatExt spid="_x0000_s16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55</xdr:row>
          <xdr:rowOff>57150</xdr:rowOff>
        </xdr:from>
        <xdr:to>
          <xdr:col>9</xdr:col>
          <xdr:colOff>0</xdr:colOff>
          <xdr:row>56</xdr:row>
          <xdr:rowOff>85725</xdr:rowOff>
        </xdr:to>
        <xdr:sp macro="" textlink="">
          <xdr:nvSpPr>
            <xdr:cNvPr id="16465" name="Option Button 81" hidden="1">
              <a:extLst>
                <a:ext uri="{63B3BB69-23CF-44E3-9099-C40C66FF867C}">
                  <a14:compatExt spid="_x0000_s16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55</xdr:row>
          <xdr:rowOff>57150</xdr:rowOff>
        </xdr:from>
        <xdr:to>
          <xdr:col>12</xdr:col>
          <xdr:colOff>542925</xdr:colOff>
          <xdr:row>56</xdr:row>
          <xdr:rowOff>85725</xdr:rowOff>
        </xdr:to>
        <xdr:sp macro="" textlink="">
          <xdr:nvSpPr>
            <xdr:cNvPr id="16466" name="Option Button 82" hidden="1">
              <a:extLst>
                <a:ext uri="{63B3BB69-23CF-44E3-9099-C40C66FF867C}">
                  <a14:compatExt spid="_x0000_s16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55</xdr:row>
          <xdr:rowOff>57150</xdr:rowOff>
        </xdr:from>
        <xdr:to>
          <xdr:col>16</xdr:col>
          <xdr:colOff>476250</xdr:colOff>
          <xdr:row>56</xdr:row>
          <xdr:rowOff>85725</xdr:rowOff>
        </xdr:to>
        <xdr:sp macro="" textlink="">
          <xdr:nvSpPr>
            <xdr:cNvPr id="16467" name="Option Button 83" hidden="1">
              <a:extLst>
                <a:ext uri="{63B3BB69-23CF-44E3-9099-C40C66FF867C}">
                  <a14:compatExt spid="_x0000_s16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55</xdr:row>
          <xdr:rowOff>57150</xdr:rowOff>
        </xdr:from>
        <xdr:to>
          <xdr:col>20</xdr:col>
          <xdr:colOff>409575</xdr:colOff>
          <xdr:row>56</xdr:row>
          <xdr:rowOff>85725</xdr:rowOff>
        </xdr:to>
        <xdr:sp macro="" textlink="">
          <xdr:nvSpPr>
            <xdr:cNvPr id="16468" name="Option Button 84" hidden="1">
              <a:extLst>
                <a:ext uri="{63B3BB69-23CF-44E3-9099-C40C66FF867C}">
                  <a14:compatExt spid="_x0000_s16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171450</xdr:rowOff>
        </xdr:from>
        <xdr:to>
          <xdr:col>20</xdr:col>
          <xdr:colOff>590550</xdr:colOff>
          <xdr:row>61</xdr:row>
          <xdr:rowOff>19050</xdr:rowOff>
        </xdr:to>
        <xdr:sp macro="" textlink="">
          <xdr:nvSpPr>
            <xdr:cNvPr id="16469" name="Group Box 85" hidden="1">
              <a:extLst>
                <a:ext uri="{63B3BB69-23CF-44E3-9099-C40C66FF867C}">
                  <a14:compatExt spid="_x0000_s16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15. Quando tenho um projeto de grande porte, divido-o em tarefas mais simples, com prazos estabelecidos antecipadamente.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58</xdr:row>
          <xdr:rowOff>180975</xdr:rowOff>
        </xdr:from>
        <xdr:to>
          <xdr:col>5</xdr:col>
          <xdr:colOff>66675</xdr:colOff>
          <xdr:row>60</xdr:row>
          <xdr:rowOff>19050</xdr:rowOff>
        </xdr:to>
        <xdr:sp macro="" textlink="">
          <xdr:nvSpPr>
            <xdr:cNvPr id="16470" name="Option Button 86" hidden="1">
              <a:extLst>
                <a:ext uri="{63B3BB69-23CF-44E3-9099-C40C66FF867C}">
                  <a14:compatExt spid="_x0000_s16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58</xdr:row>
          <xdr:rowOff>180975</xdr:rowOff>
        </xdr:from>
        <xdr:to>
          <xdr:col>9</xdr:col>
          <xdr:colOff>0</xdr:colOff>
          <xdr:row>60</xdr:row>
          <xdr:rowOff>19050</xdr:rowOff>
        </xdr:to>
        <xdr:sp macro="" textlink="">
          <xdr:nvSpPr>
            <xdr:cNvPr id="16471" name="Option Button 87" hidden="1">
              <a:extLst>
                <a:ext uri="{63B3BB69-23CF-44E3-9099-C40C66FF867C}">
                  <a14:compatExt spid="_x0000_s16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58</xdr:row>
          <xdr:rowOff>180975</xdr:rowOff>
        </xdr:from>
        <xdr:to>
          <xdr:col>12</xdr:col>
          <xdr:colOff>542925</xdr:colOff>
          <xdr:row>60</xdr:row>
          <xdr:rowOff>19050</xdr:rowOff>
        </xdr:to>
        <xdr:sp macro="" textlink="">
          <xdr:nvSpPr>
            <xdr:cNvPr id="16472" name="Option Button 88" hidden="1">
              <a:extLst>
                <a:ext uri="{63B3BB69-23CF-44E3-9099-C40C66FF867C}">
                  <a14:compatExt spid="_x0000_s16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58</xdr:row>
          <xdr:rowOff>180975</xdr:rowOff>
        </xdr:from>
        <xdr:to>
          <xdr:col>16</xdr:col>
          <xdr:colOff>476250</xdr:colOff>
          <xdr:row>60</xdr:row>
          <xdr:rowOff>19050</xdr:rowOff>
        </xdr:to>
        <xdr:sp macro="" textlink="">
          <xdr:nvSpPr>
            <xdr:cNvPr id="16473" name="Option Button 89" hidden="1">
              <a:extLst>
                <a:ext uri="{63B3BB69-23CF-44E3-9099-C40C66FF867C}">
                  <a14:compatExt spid="_x0000_s16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58</xdr:row>
          <xdr:rowOff>180975</xdr:rowOff>
        </xdr:from>
        <xdr:to>
          <xdr:col>20</xdr:col>
          <xdr:colOff>409575</xdr:colOff>
          <xdr:row>60</xdr:row>
          <xdr:rowOff>19050</xdr:rowOff>
        </xdr:to>
        <xdr:sp macro="" textlink="">
          <xdr:nvSpPr>
            <xdr:cNvPr id="16474" name="Option Button 90" hidden="1">
              <a:extLst>
                <a:ext uri="{63B3BB69-23CF-44E3-9099-C40C66FF867C}">
                  <a14:compatExt spid="_x0000_s16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104775</xdr:rowOff>
        </xdr:from>
        <xdr:to>
          <xdr:col>20</xdr:col>
          <xdr:colOff>590550</xdr:colOff>
          <xdr:row>64</xdr:row>
          <xdr:rowOff>142875</xdr:rowOff>
        </xdr:to>
        <xdr:sp macro="" textlink="">
          <xdr:nvSpPr>
            <xdr:cNvPr id="16475" name="Group Box 91" hidden="1">
              <a:extLst>
                <a:ext uri="{63B3BB69-23CF-44E3-9099-C40C66FF867C}">
                  <a14:compatExt spid="_x0000_s16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16. Mesmo que eu já esteja obtendo bons resultados no empreendimento, encontro formas de melhorar o que faço (agilidade, custos, qualidade).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62</xdr:row>
          <xdr:rowOff>114300</xdr:rowOff>
        </xdr:from>
        <xdr:to>
          <xdr:col>5</xdr:col>
          <xdr:colOff>66675</xdr:colOff>
          <xdr:row>63</xdr:row>
          <xdr:rowOff>142875</xdr:rowOff>
        </xdr:to>
        <xdr:sp macro="" textlink="">
          <xdr:nvSpPr>
            <xdr:cNvPr id="16476" name="Option Button 92" hidden="1">
              <a:extLst>
                <a:ext uri="{63B3BB69-23CF-44E3-9099-C40C66FF867C}">
                  <a14:compatExt spid="_x0000_s16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62</xdr:row>
          <xdr:rowOff>114300</xdr:rowOff>
        </xdr:from>
        <xdr:to>
          <xdr:col>9</xdr:col>
          <xdr:colOff>0</xdr:colOff>
          <xdr:row>63</xdr:row>
          <xdr:rowOff>142875</xdr:rowOff>
        </xdr:to>
        <xdr:sp macro="" textlink="">
          <xdr:nvSpPr>
            <xdr:cNvPr id="16477" name="Option Button 93" hidden="1">
              <a:extLst>
                <a:ext uri="{63B3BB69-23CF-44E3-9099-C40C66FF867C}">
                  <a14:compatExt spid="_x0000_s16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62</xdr:row>
          <xdr:rowOff>114300</xdr:rowOff>
        </xdr:from>
        <xdr:to>
          <xdr:col>12</xdr:col>
          <xdr:colOff>542925</xdr:colOff>
          <xdr:row>63</xdr:row>
          <xdr:rowOff>142875</xdr:rowOff>
        </xdr:to>
        <xdr:sp macro="" textlink="">
          <xdr:nvSpPr>
            <xdr:cNvPr id="16478" name="Option Button 94" hidden="1">
              <a:extLst>
                <a:ext uri="{63B3BB69-23CF-44E3-9099-C40C66FF867C}">
                  <a14:compatExt spid="_x0000_s16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62</xdr:row>
          <xdr:rowOff>114300</xdr:rowOff>
        </xdr:from>
        <xdr:to>
          <xdr:col>16</xdr:col>
          <xdr:colOff>476250</xdr:colOff>
          <xdr:row>63</xdr:row>
          <xdr:rowOff>142875</xdr:rowOff>
        </xdr:to>
        <xdr:sp macro="" textlink="">
          <xdr:nvSpPr>
            <xdr:cNvPr id="16479" name="Option Button 95" hidden="1">
              <a:extLst>
                <a:ext uri="{63B3BB69-23CF-44E3-9099-C40C66FF867C}">
                  <a14:compatExt spid="_x0000_s16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62</xdr:row>
          <xdr:rowOff>114300</xdr:rowOff>
        </xdr:from>
        <xdr:to>
          <xdr:col>20</xdr:col>
          <xdr:colOff>409575</xdr:colOff>
          <xdr:row>63</xdr:row>
          <xdr:rowOff>142875</xdr:rowOff>
        </xdr:to>
        <xdr:sp macro="" textlink="">
          <xdr:nvSpPr>
            <xdr:cNvPr id="16480" name="Option Button 96" hidden="1">
              <a:extLst>
                <a:ext uri="{63B3BB69-23CF-44E3-9099-C40C66FF867C}">
                  <a14:compatExt spid="_x0000_s16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38100</xdr:rowOff>
        </xdr:from>
        <xdr:to>
          <xdr:col>20</xdr:col>
          <xdr:colOff>590550</xdr:colOff>
          <xdr:row>68</xdr:row>
          <xdr:rowOff>76200</xdr:rowOff>
        </xdr:to>
        <xdr:sp macro="" textlink="">
          <xdr:nvSpPr>
            <xdr:cNvPr id="16481" name="Group Box 97" hidden="1">
              <a:extLst>
                <a:ext uri="{63B3BB69-23CF-44E3-9099-C40C66FF867C}">
                  <a14:compatExt spid="_x0000_s16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17. Confio em minha capacidade de tomar decisões e solucionar problemas desafiantes que encontro na rotina do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66</xdr:row>
          <xdr:rowOff>47625</xdr:rowOff>
        </xdr:from>
        <xdr:to>
          <xdr:col>5</xdr:col>
          <xdr:colOff>66675</xdr:colOff>
          <xdr:row>67</xdr:row>
          <xdr:rowOff>76200</xdr:rowOff>
        </xdr:to>
        <xdr:sp macro="" textlink="">
          <xdr:nvSpPr>
            <xdr:cNvPr id="16482" name="Option Button 98" hidden="1">
              <a:extLst>
                <a:ext uri="{63B3BB69-23CF-44E3-9099-C40C66FF867C}">
                  <a14:compatExt spid="_x0000_s16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66</xdr:row>
          <xdr:rowOff>47625</xdr:rowOff>
        </xdr:from>
        <xdr:to>
          <xdr:col>9</xdr:col>
          <xdr:colOff>0</xdr:colOff>
          <xdr:row>67</xdr:row>
          <xdr:rowOff>76200</xdr:rowOff>
        </xdr:to>
        <xdr:sp macro="" textlink="">
          <xdr:nvSpPr>
            <xdr:cNvPr id="16483" name="Option Button 99" hidden="1">
              <a:extLst>
                <a:ext uri="{63B3BB69-23CF-44E3-9099-C40C66FF867C}">
                  <a14:compatExt spid="_x0000_s16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66</xdr:row>
          <xdr:rowOff>47625</xdr:rowOff>
        </xdr:from>
        <xdr:to>
          <xdr:col>12</xdr:col>
          <xdr:colOff>542925</xdr:colOff>
          <xdr:row>67</xdr:row>
          <xdr:rowOff>76200</xdr:rowOff>
        </xdr:to>
        <xdr:sp macro="" textlink="">
          <xdr:nvSpPr>
            <xdr:cNvPr id="16484" name="Option Button 100" hidden="1">
              <a:extLst>
                <a:ext uri="{63B3BB69-23CF-44E3-9099-C40C66FF867C}">
                  <a14:compatExt spid="_x0000_s16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66</xdr:row>
          <xdr:rowOff>47625</xdr:rowOff>
        </xdr:from>
        <xdr:to>
          <xdr:col>16</xdr:col>
          <xdr:colOff>476250</xdr:colOff>
          <xdr:row>67</xdr:row>
          <xdr:rowOff>76200</xdr:rowOff>
        </xdr:to>
        <xdr:sp macro="" textlink="">
          <xdr:nvSpPr>
            <xdr:cNvPr id="16485" name="Option Button 101" hidden="1">
              <a:extLst>
                <a:ext uri="{63B3BB69-23CF-44E3-9099-C40C66FF867C}">
                  <a14:compatExt spid="_x0000_s16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66</xdr:row>
          <xdr:rowOff>47625</xdr:rowOff>
        </xdr:from>
        <xdr:to>
          <xdr:col>20</xdr:col>
          <xdr:colOff>409575</xdr:colOff>
          <xdr:row>67</xdr:row>
          <xdr:rowOff>76200</xdr:rowOff>
        </xdr:to>
        <xdr:sp macro="" textlink="">
          <xdr:nvSpPr>
            <xdr:cNvPr id="16486" name="Option Button 102" hidden="1">
              <a:extLst>
                <a:ext uri="{63B3BB69-23CF-44E3-9099-C40C66FF867C}">
                  <a14:compatExt spid="_x0000_s16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161925</xdr:rowOff>
        </xdr:from>
        <xdr:to>
          <xdr:col>20</xdr:col>
          <xdr:colOff>590550</xdr:colOff>
          <xdr:row>72</xdr:row>
          <xdr:rowOff>9525</xdr:rowOff>
        </xdr:to>
        <xdr:sp macro="" textlink="">
          <xdr:nvSpPr>
            <xdr:cNvPr id="16487" name="Group Box 103" hidden="1">
              <a:extLst>
                <a:ext uri="{63B3BB69-23CF-44E3-9099-C40C66FF867C}">
                  <a14:compatExt spid="_x0000_s16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18. Na execução das atividades, minha intuição e criatividade costumam ser suficientes para decidir o que fazer, contudo, sei que organização e controle não são aspectos secundários.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69</xdr:row>
          <xdr:rowOff>171450</xdr:rowOff>
        </xdr:from>
        <xdr:to>
          <xdr:col>5</xdr:col>
          <xdr:colOff>66675</xdr:colOff>
          <xdr:row>71</xdr:row>
          <xdr:rowOff>9525</xdr:rowOff>
        </xdr:to>
        <xdr:sp macro="" textlink="">
          <xdr:nvSpPr>
            <xdr:cNvPr id="16488" name="Option Button 104" hidden="1">
              <a:extLst>
                <a:ext uri="{63B3BB69-23CF-44E3-9099-C40C66FF867C}">
                  <a14:compatExt spid="_x0000_s16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69</xdr:row>
          <xdr:rowOff>171450</xdr:rowOff>
        </xdr:from>
        <xdr:to>
          <xdr:col>9</xdr:col>
          <xdr:colOff>0</xdr:colOff>
          <xdr:row>71</xdr:row>
          <xdr:rowOff>9525</xdr:rowOff>
        </xdr:to>
        <xdr:sp macro="" textlink="">
          <xdr:nvSpPr>
            <xdr:cNvPr id="16489" name="Option Button 105" hidden="1">
              <a:extLst>
                <a:ext uri="{63B3BB69-23CF-44E3-9099-C40C66FF867C}">
                  <a14:compatExt spid="_x0000_s16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69</xdr:row>
          <xdr:rowOff>171450</xdr:rowOff>
        </xdr:from>
        <xdr:to>
          <xdr:col>12</xdr:col>
          <xdr:colOff>542925</xdr:colOff>
          <xdr:row>71</xdr:row>
          <xdr:rowOff>9525</xdr:rowOff>
        </xdr:to>
        <xdr:sp macro="" textlink="">
          <xdr:nvSpPr>
            <xdr:cNvPr id="16490" name="Option Button 106" hidden="1">
              <a:extLst>
                <a:ext uri="{63B3BB69-23CF-44E3-9099-C40C66FF867C}">
                  <a14:compatExt spid="_x0000_s16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69</xdr:row>
          <xdr:rowOff>171450</xdr:rowOff>
        </xdr:from>
        <xdr:to>
          <xdr:col>16</xdr:col>
          <xdr:colOff>476250</xdr:colOff>
          <xdr:row>71</xdr:row>
          <xdr:rowOff>9525</xdr:rowOff>
        </xdr:to>
        <xdr:sp macro="" textlink="">
          <xdr:nvSpPr>
            <xdr:cNvPr id="16491" name="Option Button 107" hidden="1">
              <a:extLst>
                <a:ext uri="{63B3BB69-23CF-44E3-9099-C40C66FF867C}">
                  <a14:compatExt spid="_x0000_s16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69</xdr:row>
          <xdr:rowOff>171450</xdr:rowOff>
        </xdr:from>
        <xdr:to>
          <xdr:col>20</xdr:col>
          <xdr:colOff>409575</xdr:colOff>
          <xdr:row>71</xdr:row>
          <xdr:rowOff>9525</xdr:rowOff>
        </xdr:to>
        <xdr:sp macro="" textlink="">
          <xdr:nvSpPr>
            <xdr:cNvPr id="16492" name="Option Button 108" hidden="1">
              <a:extLst>
                <a:ext uri="{63B3BB69-23CF-44E3-9099-C40C66FF867C}">
                  <a14:compatExt spid="_x0000_s16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72</xdr:row>
          <xdr:rowOff>95250</xdr:rowOff>
        </xdr:from>
        <xdr:to>
          <xdr:col>20</xdr:col>
          <xdr:colOff>590550</xdr:colOff>
          <xdr:row>75</xdr:row>
          <xdr:rowOff>133350</xdr:rowOff>
        </xdr:to>
        <xdr:sp macro="" textlink="">
          <xdr:nvSpPr>
            <xdr:cNvPr id="16493" name="Group Box 109" hidden="1">
              <a:extLst>
                <a:ext uri="{63B3BB69-23CF-44E3-9099-C40C66FF867C}">
                  <a14:compatExt spid="_x0000_s16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19. Identifico pessoas influentes e solicito apoio delas para alcançar minhas metas, pois somente assim consigo obter resultados positivos.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73</xdr:row>
          <xdr:rowOff>104775</xdr:rowOff>
        </xdr:from>
        <xdr:to>
          <xdr:col>5</xdr:col>
          <xdr:colOff>66675</xdr:colOff>
          <xdr:row>74</xdr:row>
          <xdr:rowOff>133350</xdr:rowOff>
        </xdr:to>
        <xdr:sp macro="" textlink="">
          <xdr:nvSpPr>
            <xdr:cNvPr id="16494" name="Option Button 110" hidden="1">
              <a:extLst>
                <a:ext uri="{63B3BB69-23CF-44E3-9099-C40C66FF867C}">
                  <a14:compatExt spid="_x0000_s16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73</xdr:row>
          <xdr:rowOff>104775</xdr:rowOff>
        </xdr:from>
        <xdr:to>
          <xdr:col>9</xdr:col>
          <xdr:colOff>0</xdr:colOff>
          <xdr:row>74</xdr:row>
          <xdr:rowOff>133350</xdr:rowOff>
        </xdr:to>
        <xdr:sp macro="" textlink="">
          <xdr:nvSpPr>
            <xdr:cNvPr id="16495" name="Option Button 111" hidden="1">
              <a:extLst>
                <a:ext uri="{63B3BB69-23CF-44E3-9099-C40C66FF867C}">
                  <a14:compatExt spid="_x0000_s16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73</xdr:row>
          <xdr:rowOff>104775</xdr:rowOff>
        </xdr:from>
        <xdr:to>
          <xdr:col>12</xdr:col>
          <xdr:colOff>542925</xdr:colOff>
          <xdr:row>74</xdr:row>
          <xdr:rowOff>133350</xdr:rowOff>
        </xdr:to>
        <xdr:sp macro="" textlink="">
          <xdr:nvSpPr>
            <xdr:cNvPr id="16496" name="Option Button 112" hidden="1">
              <a:extLst>
                <a:ext uri="{63B3BB69-23CF-44E3-9099-C40C66FF867C}">
                  <a14:compatExt spid="_x0000_s16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73</xdr:row>
          <xdr:rowOff>104775</xdr:rowOff>
        </xdr:from>
        <xdr:to>
          <xdr:col>16</xdr:col>
          <xdr:colOff>476250</xdr:colOff>
          <xdr:row>74</xdr:row>
          <xdr:rowOff>133350</xdr:rowOff>
        </xdr:to>
        <xdr:sp macro="" textlink="">
          <xdr:nvSpPr>
            <xdr:cNvPr id="16497" name="Option Button 113" hidden="1">
              <a:extLst>
                <a:ext uri="{63B3BB69-23CF-44E3-9099-C40C66FF867C}">
                  <a14:compatExt spid="_x0000_s16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73</xdr:row>
          <xdr:rowOff>104775</xdr:rowOff>
        </xdr:from>
        <xdr:to>
          <xdr:col>20</xdr:col>
          <xdr:colOff>409575</xdr:colOff>
          <xdr:row>74</xdr:row>
          <xdr:rowOff>133350</xdr:rowOff>
        </xdr:to>
        <xdr:sp macro="" textlink="">
          <xdr:nvSpPr>
            <xdr:cNvPr id="16498" name="Option Button 114" hidden="1">
              <a:extLst>
                <a:ext uri="{63B3BB69-23CF-44E3-9099-C40C66FF867C}">
                  <a14:compatExt spid="_x0000_s16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76</xdr:row>
          <xdr:rowOff>28575</xdr:rowOff>
        </xdr:from>
        <xdr:to>
          <xdr:col>20</xdr:col>
          <xdr:colOff>590550</xdr:colOff>
          <xdr:row>79</xdr:row>
          <xdr:rowOff>66675</xdr:rowOff>
        </xdr:to>
        <xdr:sp macro="" textlink="">
          <xdr:nvSpPr>
            <xdr:cNvPr id="16499" name="Group Box 115" hidden="1">
              <a:extLst>
                <a:ext uri="{63B3BB69-23CF-44E3-9099-C40C66FF867C}">
                  <a14:compatExt spid="_x0000_s16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20. Sendo necessário, possível e viável, costumo insistir para conseguir o que pretendo.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77</xdr:row>
          <xdr:rowOff>38100</xdr:rowOff>
        </xdr:from>
        <xdr:to>
          <xdr:col>5</xdr:col>
          <xdr:colOff>66675</xdr:colOff>
          <xdr:row>78</xdr:row>
          <xdr:rowOff>66675</xdr:rowOff>
        </xdr:to>
        <xdr:sp macro="" textlink="">
          <xdr:nvSpPr>
            <xdr:cNvPr id="16500" name="Option Button 116" hidden="1">
              <a:extLst>
                <a:ext uri="{63B3BB69-23CF-44E3-9099-C40C66FF867C}">
                  <a14:compatExt spid="_x0000_s16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77</xdr:row>
          <xdr:rowOff>38100</xdr:rowOff>
        </xdr:from>
        <xdr:to>
          <xdr:col>9</xdr:col>
          <xdr:colOff>0</xdr:colOff>
          <xdr:row>78</xdr:row>
          <xdr:rowOff>66675</xdr:rowOff>
        </xdr:to>
        <xdr:sp macro="" textlink="">
          <xdr:nvSpPr>
            <xdr:cNvPr id="16501" name="Option Button 117" hidden="1">
              <a:extLst>
                <a:ext uri="{63B3BB69-23CF-44E3-9099-C40C66FF867C}">
                  <a14:compatExt spid="_x0000_s16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77</xdr:row>
          <xdr:rowOff>38100</xdr:rowOff>
        </xdr:from>
        <xdr:to>
          <xdr:col>12</xdr:col>
          <xdr:colOff>542925</xdr:colOff>
          <xdr:row>78</xdr:row>
          <xdr:rowOff>66675</xdr:rowOff>
        </xdr:to>
        <xdr:sp macro="" textlink="">
          <xdr:nvSpPr>
            <xdr:cNvPr id="16502" name="Option Button 118" hidden="1">
              <a:extLst>
                <a:ext uri="{63B3BB69-23CF-44E3-9099-C40C66FF867C}">
                  <a14:compatExt spid="_x0000_s16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77</xdr:row>
          <xdr:rowOff>38100</xdr:rowOff>
        </xdr:from>
        <xdr:to>
          <xdr:col>16</xdr:col>
          <xdr:colOff>476250</xdr:colOff>
          <xdr:row>78</xdr:row>
          <xdr:rowOff>66675</xdr:rowOff>
        </xdr:to>
        <xdr:sp macro="" textlink="">
          <xdr:nvSpPr>
            <xdr:cNvPr id="16503" name="Option Button 119" hidden="1">
              <a:extLst>
                <a:ext uri="{63B3BB69-23CF-44E3-9099-C40C66FF867C}">
                  <a14:compatExt spid="_x0000_s16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77</xdr:row>
          <xdr:rowOff>38100</xdr:rowOff>
        </xdr:from>
        <xdr:to>
          <xdr:col>20</xdr:col>
          <xdr:colOff>409575</xdr:colOff>
          <xdr:row>78</xdr:row>
          <xdr:rowOff>66675</xdr:rowOff>
        </xdr:to>
        <xdr:sp macro="" textlink="">
          <xdr:nvSpPr>
            <xdr:cNvPr id="16504" name="Option Button 120" hidden="1">
              <a:extLst>
                <a:ext uri="{63B3BB69-23CF-44E3-9099-C40C66FF867C}">
                  <a14:compatExt spid="_x0000_s16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79</xdr:row>
          <xdr:rowOff>152400</xdr:rowOff>
        </xdr:from>
        <xdr:to>
          <xdr:col>20</xdr:col>
          <xdr:colOff>590550</xdr:colOff>
          <xdr:row>83</xdr:row>
          <xdr:rowOff>0</xdr:rowOff>
        </xdr:to>
        <xdr:sp macro="" textlink="">
          <xdr:nvSpPr>
            <xdr:cNvPr id="16505" name="Group Box 121" hidden="1">
              <a:extLst>
                <a:ext uri="{63B3BB69-23CF-44E3-9099-C40C66FF867C}">
                  <a14:compatExt spid="_x0000_s16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21. Quando necessário, possível e viável, aproveito as oportunidades que surgem no mercado, pois elas trazem retorno financeiro.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80</xdr:row>
          <xdr:rowOff>161925</xdr:rowOff>
        </xdr:from>
        <xdr:to>
          <xdr:col>5</xdr:col>
          <xdr:colOff>66675</xdr:colOff>
          <xdr:row>82</xdr:row>
          <xdr:rowOff>0</xdr:rowOff>
        </xdr:to>
        <xdr:sp macro="" textlink="">
          <xdr:nvSpPr>
            <xdr:cNvPr id="16506" name="Option Button 122" hidden="1">
              <a:extLst>
                <a:ext uri="{63B3BB69-23CF-44E3-9099-C40C66FF867C}">
                  <a14:compatExt spid="_x0000_s16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80</xdr:row>
          <xdr:rowOff>161925</xdr:rowOff>
        </xdr:from>
        <xdr:to>
          <xdr:col>9</xdr:col>
          <xdr:colOff>0</xdr:colOff>
          <xdr:row>82</xdr:row>
          <xdr:rowOff>0</xdr:rowOff>
        </xdr:to>
        <xdr:sp macro="" textlink="">
          <xdr:nvSpPr>
            <xdr:cNvPr id="16507" name="Option Button 123" hidden="1">
              <a:extLst>
                <a:ext uri="{63B3BB69-23CF-44E3-9099-C40C66FF867C}">
                  <a14:compatExt spid="_x0000_s16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80</xdr:row>
          <xdr:rowOff>161925</xdr:rowOff>
        </xdr:from>
        <xdr:to>
          <xdr:col>12</xdr:col>
          <xdr:colOff>542925</xdr:colOff>
          <xdr:row>82</xdr:row>
          <xdr:rowOff>0</xdr:rowOff>
        </xdr:to>
        <xdr:sp macro="" textlink="">
          <xdr:nvSpPr>
            <xdr:cNvPr id="16508" name="Option Button 124" hidden="1">
              <a:extLst>
                <a:ext uri="{63B3BB69-23CF-44E3-9099-C40C66FF867C}">
                  <a14:compatExt spid="_x0000_s16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80</xdr:row>
          <xdr:rowOff>161925</xdr:rowOff>
        </xdr:from>
        <xdr:to>
          <xdr:col>16</xdr:col>
          <xdr:colOff>476250</xdr:colOff>
          <xdr:row>82</xdr:row>
          <xdr:rowOff>0</xdr:rowOff>
        </xdr:to>
        <xdr:sp macro="" textlink="">
          <xdr:nvSpPr>
            <xdr:cNvPr id="16509" name="Option Button 125" hidden="1">
              <a:extLst>
                <a:ext uri="{63B3BB69-23CF-44E3-9099-C40C66FF867C}">
                  <a14:compatExt spid="_x0000_s16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80</xdr:row>
          <xdr:rowOff>161925</xdr:rowOff>
        </xdr:from>
        <xdr:to>
          <xdr:col>20</xdr:col>
          <xdr:colOff>409575</xdr:colOff>
          <xdr:row>82</xdr:row>
          <xdr:rowOff>0</xdr:rowOff>
        </xdr:to>
        <xdr:sp macro="" textlink="">
          <xdr:nvSpPr>
            <xdr:cNvPr id="16510" name="Option Button 126" hidden="1">
              <a:extLst>
                <a:ext uri="{63B3BB69-23CF-44E3-9099-C40C66FF867C}">
                  <a14:compatExt spid="_x0000_s16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83</xdr:row>
          <xdr:rowOff>85725</xdr:rowOff>
        </xdr:from>
        <xdr:to>
          <xdr:col>20</xdr:col>
          <xdr:colOff>590550</xdr:colOff>
          <xdr:row>86</xdr:row>
          <xdr:rowOff>123825</xdr:rowOff>
        </xdr:to>
        <xdr:sp macro="" textlink="">
          <xdr:nvSpPr>
            <xdr:cNvPr id="16511" name="Group Box 127" hidden="1">
              <a:extLst>
                <a:ext uri="{63B3BB69-23CF-44E3-9099-C40C66FF867C}">
                  <a14:compatExt spid="_x0000_s16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22. Não é comum enviar, brindes aos clientes em momentos específicos, independente de ser com objetivos comerciais ou não.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84</xdr:row>
          <xdr:rowOff>95250</xdr:rowOff>
        </xdr:from>
        <xdr:to>
          <xdr:col>5</xdr:col>
          <xdr:colOff>66675</xdr:colOff>
          <xdr:row>85</xdr:row>
          <xdr:rowOff>123825</xdr:rowOff>
        </xdr:to>
        <xdr:sp macro="" textlink="">
          <xdr:nvSpPr>
            <xdr:cNvPr id="16512" name="Option Button 128" hidden="1">
              <a:extLst>
                <a:ext uri="{63B3BB69-23CF-44E3-9099-C40C66FF867C}">
                  <a14:compatExt spid="_x0000_s16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84</xdr:row>
          <xdr:rowOff>95250</xdr:rowOff>
        </xdr:from>
        <xdr:to>
          <xdr:col>9</xdr:col>
          <xdr:colOff>0</xdr:colOff>
          <xdr:row>85</xdr:row>
          <xdr:rowOff>123825</xdr:rowOff>
        </xdr:to>
        <xdr:sp macro="" textlink="">
          <xdr:nvSpPr>
            <xdr:cNvPr id="16513" name="Option Button 129" hidden="1">
              <a:extLst>
                <a:ext uri="{63B3BB69-23CF-44E3-9099-C40C66FF867C}">
                  <a14:compatExt spid="_x0000_s16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84</xdr:row>
          <xdr:rowOff>95250</xdr:rowOff>
        </xdr:from>
        <xdr:to>
          <xdr:col>12</xdr:col>
          <xdr:colOff>542925</xdr:colOff>
          <xdr:row>85</xdr:row>
          <xdr:rowOff>123825</xdr:rowOff>
        </xdr:to>
        <xdr:sp macro="" textlink="">
          <xdr:nvSpPr>
            <xdr:cNvPr id="16514" name="Option Button 130" hidden="1">
              <a:extLst>
                <a:ext uri="{63B3BB69-23CF-44E3-9099-C40C66FF867C}">
                  <a14:compatExt spid="_x0000_s16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84</xdr:row>
          <xdr:rowOff>95250</xdr:rowOff>
        </xdr:from>
        <xdr:to>
          <xdr:col>16</xdr:col>
          <xdr:colOff>476250</xdr:colOff>
          <xdr:row>85</xdr:row>
          <xdr:rowOff>123825</xdr:rowOff>
        </xdr:to>
        <xdr:sp macro="" textlink="">
          <xdr:nvSpPr>
            <xdr:cNvPr id="16515" name="Option Button 131" hidden="1">
              <a:extLst>
                <a:ext uri="{63B3BB69-23CF-44E3-9099-C40C66FF867C}">
                  <a14:compatExt spid="_x0000_s16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84</xdr:row>
          <xdr:rowOff>95250</xdr:rowOff>
        </xdr:from>
        <xdr:to>
          <xdr:col>20</xdr:col>
          <xdr:colOff>409575</xdr:colOff>
          <xdr:row>85</xdr:row>
          <xdr:rowOff>123825</xdr:rowOff>
        </xdr:to>
        <xdr:sp macro="" textlink="">
          <xdr:nvSpPr>
            <xdr:cNvPr id="16516" name="Option Button 132" hidden="1">
              <a:extLst>
                <a:ext uri="{63B3BB69-23CF-44E3-9099-C40C66FF867C}">
                  <a14:compatExt spid="_x0000_s16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87</xdr:row>
          <xdr:rowOff>19050</xdr:rowOff>
        </xdr:from>
        <xdr:to>
          <xdr:col>20</xdr:col>
          <xdr:colOff>590550</xdr:colOff>
          <xdr:row>90</xdr:row>
          <xdr:rowOff>57150</xdr:rowOff>
        </xdr:to>
        <xdr:sp macro="" textlink="">
          <xdr:nvSpPr>
            <xdr:cNvPr id="16517" name="Group Box 133" hidden="1">
              <a:extLst>
                <a:ext uri="{63B3BB69-23CF-44E3-9099-C40C66FF867C}">
                  <a14:compatExt spid="_x0000_s16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23. Faço controles financeiros por meio de registros e utilizo esses dados para subsidiar as minhas decisões.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88</xdr:row>
          <xdr:rowOff>28575</xdr:rowOff>
        </xdr:from>
        <xdr:to>
          <xdr:col>5</xdr:col>
          <xdr:colOff>66675</xdr:colOff>
          <xdr:row>89</xdr:row>
          <xdr:rowOff>57150</xdr:rowOff>
        </xdr:to>
        <xdr:sp macro="" textlink="">
          <xdr:nvSpPr>
            <xdr:cNvPr id="16518" name="Option Button 134" hidden="1">
              <a:extLst>
                <a:ext uri="{63B3BB69-23CF-44E3-9099-C40C66FF867C}">
                  <a14:compatExt spid="_x0000_s16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88</xdr:row>
          <xdr:rowOff>28575</xdr:rowOff>
        </xdr:from>
        <xdr:to>
          <xdr:col>9</xdr:col>
          <xdr:colOff>0</xdr:colOff>
          <xdr:row>89</xdr:row>
          <xdr:rowOff>57150</xdr:rowOff>
        </xdr:to>
        <xdr:sp macro="" textlink="">
          <xdr:nvSpPr>
            <xdr:cNvPr id="16519" name="Option Button 135" hidden="1">
              <a:extLst>
                <a:ext uri="{63B3BB69-23CF-44E3-9099-C40C66FF867C}">
                  <a14:compatExt spid="_x0000_s16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88</xdr:row>
          <xdr:rowOff>28575</xdr:rowOff>
        </xdr:from>
        <xdr:to>
          <xdr:col>12</xdr:col>
          <xdr:colOff>542925</xdr:colOff>
          <xdr:row>89</xdr:row>
          <xdr:rowOff>57150</xdr:rowOff>
        </xdr:to>
        <xdr:sp macro="" textlink="">
          <xdr:nvSpPr>
            <xdr:cNvPr id="16520" name="Option Button 136" hidden="1">
              <a:extLst>
                <a:ext uri="{63B3BB69-23CF-44E3-9099-C40C66FF867C}">
                  <a14:compatExt spid="_x0000_s16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88</xdr:row>
          <xdr:rowOff>28575</xdr:rowOff>
        </xdr:from>
        <xdr:to>
          <xdr:col>16</xdr:col>
          <xdr:colOff>476250</xdr:colOff>
          <xdr:row>89</xdr:row>
          <xdr:rowOff>57150</xdr:rowOff>
        </xdr:to>
        <xdr:sp macro="" textlink="">
          <xdr:nvSpPr>
            <xdr:cNvPr id="16521" name="Option Button 137" hidden="1">
              <a:extLst>
                <a:ext uri="{63B3BB69-23CF-44E3-9099-C40C66FF867C}">
                  <a14:compatExt spid="_x0000_s16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88</xdr:row>
          <xdr:rowOff>28575</xdr:rowOff>
        </xdr:from>
        <xdr:to>
          <xdr:col>20</xdr:col>
          <xdr:colOff>409575</xdr:colOff>
          <xdr:row>89</xdr:row>
          <xdr:rowOff>57150</xdr:rowOff>
        </xdr:to>
        <xdr:sp macro="" textlink="">
          <xdr:nvSpPr>
            <xdr:cNvPr id="16522" name="Option Button 138" hidden="1">
              <a:extLst>
                <a:ext uri="{63B3BB69-23CF-44E3-9099-C40C66FF867C}">
                  <a14:compatExt spid="_x0000_s16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90</xdr:row>
          <xdr:rowOff>142875</xdr:rowOff>
        </xdr:from>
        <xdr:to>
          <xdr:col>20</xdr:col>
          <xdr:colOff>590550</xdr:colOff>
          <xdr:row>93</xdr:row>
          <xdr:rowOff>180975</xdr:rowOff>
        </xdr:to>
        <xdr:sp macro="" textlink="">
          <xdr:nvSpPr>
            <xdr:cNvPr id="16523" name="Group Box 139" hidden="1">
              <a:extLst>
                <a:ext uri="{63B3BB69-23CF-44E3-9099-C40C66FF867C}">
                  <a14:compatExt spid="_x0000_s16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24. Quando encontro dificuldades na execução de uma atividade, não me permito aguardar um tempo até que ela se resolva por si.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91</xdr:row>
          <xdr:rowOff>152400</xdr:rowOff>
        </xdr:from>
        <xdr:to>
          <xdr:col>5</xdr:col>
          <xdr:colOff>66675</xdr:colOff>
          <xdr:row>92</xdr:row>
          <xdr:rowOff>180975</xdr:rowOff>
        </xdr:to>
        <xdr:sp macro="" textlink="">
          <xdr:nvSpPr>
            <xdr:cNvPr id="16524" name="Option Button 140" hidden="1">
              <a:extLst>
                <a:ext uri="{63B3BB69-23CF-44E3-9099-C40C66FF867C}">
                  <a14:compatExt spid="_x0000_s16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91</xdr:row>
          <xdr:rowOff>152400</xdr:rowOff>
        </xdr:from>
        <xdr:to>
          <xdr:col>9</xdr:col>
          <xdr:colOff>0</xdr:colOff>
          <xdr:row>92</xdr:row>
          <xdr:rowOff>180975</xdr:rowOff>
        </xdr:to>
        <xdr:sp macro="" textlink="">
          <xdr:nvSpPr>
            <xdr:cNvPr id="16525" name="Option Button 141" hidden="1">
              <a:extLst>
                <a:ext uri="{63B3BB69-23CF-44E3-9099-C40C66FF867C}">
                  <a14:compatExt spid="_x0000_s16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91</xdr:row>
          <xdr:rowOff>152400</xdr:rowOff>
        </xdr:from>
        <xdr:to>
          <xdr:col>12</xdr:col>
          <xdr:colOff>542925</xdr:colOff>
          <xdr:row>92</xdr:row>
          <xdr:rowOff>180975</xdr:rowOff>
        </xdr:to>
        <xdr:sp macro="" textlink="">
          <xdr:nvSpPr>
            <xdr:cNvPr id="16526" name="Option Button 142" hidden="1">
              <a:extLst>
                <a:ext uri="{63B3BB69-23CF-44E3-9099-C40C66FF867C}">
                  <a14:compatExt spid="_x0000_s16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91</xdr:row>
          <xdr:rowOff>152400</xdr:rowOff>
        </xdr:from>
        <xdr:to>
          <xdr:col>16</xdr:col>
          <xdr:colOff>476250</xdr:colOff>
          <xdr:row>92</xdr:row>
          <xdr:rowOff>180975</xdr:rowOff>
        </xdr:to>
        <xdr:sp macro="" textlink="">
          <xdr:nvSpPr>
            <xdr:cNvPr id="16527" name="Option Button 143" hidden="1">
              <a:extLst>
                <a:ext uri="{63B3BB69-23CF-44E3-9099-C40C66FF867C}">
                  <a14:compatExt spid="_x0000_s16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91</xdr:row>
          <xdr:rowOff>152400</xdr:rowOff>
        </xdr:from>
        <xdr:to>
          <xdr:col>20</xdr:col>
          <xdr:colOff>409575</xdr:colOff>
          <xdr:row>92</xdr:row>
          <xdr:rowOff>180975</xdr:rowOff>
        </xdr:to>
        <xdr:sp macro="" textlink="">
          <xdr:nvSpPr>
            <xdr:cNvPr id="16528" name="Option Button 144" hidden="1">
              <a:extLst>
                <a:ext uri="{63B3BB69-23CF-44E3-9099-C40C66FF867C}">
                  <a14:compatExt spid="_x0000_s16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94</xdr:row>
          <xdr:rowOff>76200</xdr:rowOff>
        </xdr:from>
        <xdr:to>
          <xdr:col>20</xdr:col>
          <xdr:colOff>590550</xdr:colOff>
          <xdr:row>97</xdr:row>
          <xdr:rowOff>114300</xdr:rowOff>
        </xdr:to>
        <xdr:sp macro="" textlink="">
          <xdr:nvSpPr>
            <xdr:cNvPr id="16529" name="Group Box 145" hidden="1">
              <a:extLst>
                <a:ext uri="{63B3BB69-23CF-44E3-9099-C40C66FF867C}">
                  <a14:compatExt spid="_x0000_s16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25. Quando necessário, trabalho muito e com afinco, para completar uma tarefa ou alcançar um objetivo.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95</xdr:row>
          <xdr:rowOff>85725</xdr:rowOff>
        </xdr:from>
        <xdr:to>
          <xdr:col>5</xdr:col>
          <xdr:colOff>66675</xdr:colOff>
          <xdr:row>96</xdr:row>
          <xdr:rowOff>114300</xdr:rowOff>
        </xdr:to>
        <xdr:sp macro="" textlink="">
          <xdr:nvSpPr>
            <xdr:cNvPr id="16530" name="Option Button 146" hidden="1">
              <a:extLst>
                <a:ext uri="{63B3BB69-23CF-44E3-9099-C40C66FF867C}">
                  <a14:compatExt spid="_x0000_s16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95</xdr:row>
          <xdr:rowOff>85725</xdr:rowOff>
        </xdr:from>
        <xdr:to>
          <xdr:col>9</xdr:col>
          <xdr:colOff>0</xdr:colOff>
          <xdr:row>96</xdr:row>
          <xdr:rowOff>114300</xdr:rowOff>
        </xdr:to>
        <xdr:sp macro="" textlink="">
          <xdr:nvSpPr>
            <xdr:cNvPr id="16531" name="Option Button 147" hidden="1">
              <a:extLst>
                <a:ext uri="{63B3BB69-23CF-44E3-9099-C40C66FF867C}">
                  <a14:compatExt spid="_x0000_s16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95</xdr:row>
          <xdr:rowOff>85725</xdr:rowOff>
        </xdr:from>
        <xdr:to>
          <xdr:col>12</xdr:col>
          <xdr:colOff>542925</xdr:colOff>
          <xdr:row>96</xdr:row>
          <xdr:rowOff>114300</xdr:rowOff>
        </xdr:to>
        <xdr:sp macro="" textlink="">
          <xdr:nvSpPr>
            <xdr:cNvPr id="16532" name="Option Button 148" hidden="1">
              <a:extLst>
                <a:ext uri="{63B3BB69-23CF-44E3-9099-C40C66FF867C}">
                  <a14:compatExt spid="_x0000_s16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95</xdr:row>
          <xdr:rowOff>85725</xdr:rowOff>
        </xdr:from>
        <xdr:to>
          <xdr:col>16</xdr:col>
          <xdr:colOff>476250</xdr:colOff>
          <xdr:row>96</xdr:row>
          <xdr:rowOff>114300</xdr:rowOff>
        </xdr:to>
        <xdr:sp macro="" textlink="">
          <xdr:nvSpPr>
            <xdr:cNvPr id="16533" name="Option Button 149" hidden="1">
              <a:extLst>
                <a:ext uri="{63B3BB69-23CF-44E3-9099-C40C66FF867C}">
                  <a14:compatExt spid="_x0000_s16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95</xdr:row>
          <xdr:rowOff>85725</xdr:rowOff>
        </xdr:from>
        <xdr:to>
          <xdr:col>20</xdr:col>
          <xdr:colOff>409575</xdr:colOff>
          <xdr:row>96</xdr:row>
          <xdr:rowOff>114300</xdr:rowOff>
        </xdr:to>
        <xdr:sp macro="" textlink="">
          <xdr:nvSpPr>
            <xdr:cNvPr id="16534" name="Option Button 150" hidden="1">
              <a:extLst>
                <a:ext uri="{63B3BB69-23CF-44E3-9099-C40C66FF867C}">
                  <a14:compatExt spid="_x0000_s16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98</xdr:row>
          <xdr:rowOff>9525</xdr:rowOff>
        </xdr:from>
        <xdr:to>
          <xdr:col>20</xdr:col>
          <xdr:colOff>590550</xdr:colOff>
          <xdr:row>101</xdr:row>
          <xdr:rowOff>47625</xdr:rowOff>
        </xdr:to>
        <xdr:sp macro="" textlink="">
          <xdr:nvSpPr>
            <xdr:cNvPr id="16535" name="Group Box 151" hidden="1">
              <a:extLst>
                <a:ext uri="{63B3BB69-23CF-44E3-9099-C40C66FF867C}">
                  <a14:compatExt spid="_x0000_s16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26. Faço coisas que, na opinião dos outros, são arriscadas.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99</xdr:row>
          <xdr:rowOff>19050</xdr:rowOff>
        </xdr:from>
        <xdr:to>
          <xdr:col>5</xdr:col>
          <xdr:colOff>66675</xdr:colOff>
          <xdr:row>100</xdr:row>
          <xdr:rowOff>47625</xdr:rowOff>
        </xdr:to>
        <xdr:sp macro="" textlink="">
          <xdr:nvSpPr>
            <xdr:cNvPr id="16536" name="Option Button 152" hidden="1">
              <a:extLst>
                <a:ext uri="{63B3BB69-23CF-44E3-9099-C40C66FF867C}">
                  <a14:compatExt spid="_x0000_s16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99</xdr:row>
          <xdr:rowOff>19050</xdr:rowOff>
        </xdr:from>
        <xdr:to>
          <xdr:col>9</xdr:col>
          <xdr:colOff>0</xdr:colOff>
          <xdr:row>100</xdr:row>
          <xdr:rowOff>47625</xdr:rowOff>
        </xdr:to>
        <xdr:sp macro="" textlink="">
          <xdr:nvSpPr>
            <xdr:cNvPr id="16537" name="Option Button 153" hidden="1">
              <a:extLst>
                <a:ext uri="{63B3BB69-23CF-44E3-9099-C40C66FF867C}">
                  <a14:compatExt spid="_x0000_s16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99</xdr:row>
          <xdr:rowOff>19050</xdr:rowOff>
        </xdr:from>
        <xdr:to>
          <xdr:col>12</xdr:col>
          <xdr:colOff>542925</xdr:colOff>
          <xdr:row>100</xdr:row>
          <xdr:rowOff>47625</xdr:rowOff>
        </xdr:to>
        <xdr:sp macro="" textlink="">
          <xdr:nvSpPr>
            <xdr:cNvPr id="16538" name="Option Button 154" hidden="1">
              <a:extLst>
                <a:ext uri="{63B3BB69-23CF-44E3-9099-C40C66FF867C}">
                  <a14:compatExt spid="_x0000_s16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99</xdr:row>
          <xdr:rowOff>19050</xdr:rowOff>
        </xdr:from>
        <xdr:to>
          <xdr:col>16</xdr:col>
          <xdr:colOff>476250</xdr:colOff>
          <xdr:row>100</xdr:row>
          <xdr:rowOff>47625</xdr:rowOff>
        </xdr:to>
        <xdr:sp macro="" textlink="">
          <xdr:nvSpPr>
            <xdr:cNvPr id="16539" name="Option Button 155" hidden="1">
              <a:extLst>
                <a:ext uri="{63B3BB69-23CF-44E3-9099-C40C66FF867C}">
                  <a14:compatExt spid="_x0000_s16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99</xdr:row>
          <xdr:rowOff>19050</xdr:rowOff>
        </xdr:from>
        <xdr:to>
          <xdr:col>20</xdr:col>
          <xdr:colOff>409575</xdr:colOff>
          <xdr:row>100</xdr:row>
          <xdr:rowOff>47625</xdr:rowOff>
        </xdr:to>
        <xdr:sp macro="" textlink="">
          <xdr:nvSpPr>
            <xdr:cNvPr id="16540" name="Option Button 156" hidden="1">
              <a:extLst>
                <a:ext uri="{63B3BB69-23CF-44E3-9099-C40C66FF867C}">
                  <a14:compatExt spid="_x0000_s16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101</xdr:row>
          <xdr:rowOff>133350</xdr:rowOff>
        </xdr:from>
        <xdr:to>
          <xdr:col>20</xdr:col>
          <xdr:colOff>590550</xdr:colOff>
          <xdr:row>104</xdr:row>
          <xdr:rowOff>171450</xdr:rowOff>
        </xdr:to>
        <xdr:sp macro="" textlink="">
          <xdr:nvSpPr>
            <xdr:cNvPr id="16541" name="Group Box 157" hidden="1">
              <a:extLst>
                <a:ext uri="{63B3BB69-23CF-44E3-9099-C40C66FF867C}">
                  <a14:compatExt spid="_x0000_s16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27. Minhas ações diárias são fortemente influenciadas por meus objetivos de médio e longo prazos.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102</xdr:row>
          <xdr:rowOff>142875</xdr:rowOff>
        </xdr:from>
        <xdr:to>
          <xdr:col>5</xdr:col>
          <xdr:colOff>66675</xdr:colOff>
          <xdr:row>103</xdr:row>
          <xdr:rowOff>171450</xdr:rowOff>
        </xdr:to>
        <xdr:sp macro="" textlink="">
          <xdr:nvSpPr>
            <xdr:cNvPr id="16542" name="Option Button 158" hidden="1">
              <a:extLst>
                <a:ext uri="{63B3BB69-23CF-44E3-9099-C40C66FF867C}">
                  <a14:compatExt spid="_x0000_s16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102</xdr:row>
          <xdr:rowOff>142875</xdr:rowOff>
        </xdr:from>
        <xdr:to>
          <xdr:col>9</xdr:col>
          <xdr:colOff>0</xdr:colOff>
          <xdr:row>103</xdr:row>
          <xdr:rowOff>171450</xdr:rowOff>
        </xdr:to>
        <xdr:sp macro="" textlink="">
          <xdr:nvSpPr>
            <xdr:cNvPr id="16543" name="Option Button 159" hidden="1">
              <a:extLst>
                <a:ext uri="{63B3BB69-23CF-44E3-9099-C40C66FF867C}">
                  <a14:compatExt spid="_x0000_s16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102</xdr:row>
          <xdr:rowOff>142875</xdr:rowOff>
        </xdr:from>
        <xdr:to>
          <xdr:col>12</xdr:col>
          <xdr:colOff>542925</xdr:colOff>
          <xdr:row>103</xdr:row>
          <xdr:rowOff>171450</xdr:rowOff>
        </xdr:to>
        <xdr:sp macro="" textlink="">
          <xdr:nvSpPr>
            <xdr:cNvPr id="16544" name="Option Button 160" hidden="1">
              <a:extLst>
                <a:ext uri="{63B3BB69-23CF-44E3-9099-C40C66FF867C}">
                  <a14:compatExt spid="_x0000_s16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102</xdr:row>
          <xdr:rowOff>142875</xdr:rowOff>
        </xdr:from>
        <xdr:to>
          <xdr:col>16</xdr:col>
          <xdr:colOff>476250</xdr:colOff>
          <xdr:row>103</xdr:row>
          <xdr:rowOff>171450</xdr:rowOff>
        </xdr:to>
        <xdr:sp macro="" textlink="">
          <xdr:nvSpPr>
            <xdr:cNvPr id="16545" name="Option Button 161" hidden="1">
              <a:extLst>
                <a:ext uri="{63B3BB69-23CF-44E3-9099-C40C66FF867C}">
                  <a14:compatExt spid="_x0000_s16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102</xdr:row>
          <xdr:rowOff>142875</xdr:rowOff>
        </xdr:from>
        <xdr:to>
          <xdr:col>20</xdr:col>
          <xdr:colOff>409575</xdr:colOff>
          <xdr:row>103</xdr:row>
          <xdr:rowOff>171450</xdr:rowOff>
        </xdr:to>
        <xdr:sp macro="" textlink="">
          <xdr:nvSpPr>
            <xdr:cNvPr id="16546" name="Option Button 162" hidden="1">
              <a:extLst>
                <a:ext uri="{63B3BB69-23CF-44E3-9099-C40C66FF867C}">
                  <a14:compatExt spid="_x0000_s16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105</xdr:row>
          <xdr:rowOff>66675</xdr:rowOff>
        </xdr:from>
        <xdr:to>
          <xdr:col>20</xdr:col>
          <xdr:colOff>590550</xdr:colOff>
          <xdr:row>108</xdr:row>
          <xdr:rowOff>104775</xdr:rowOff>
        </xdr:to>
        <xdr:sp macro="" textlink="">
          <xdr:nvSpPr>
            <xdr:cNvPr id="16547" name="Group Box 163" hidden="1">
              <a:extLst>
                <a:ext uri="{63B3BB69-23CF-44E3-9099-C40C66FF867C}">
                  <a14:compatExt spid="_x0000_s16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28. Visito feiras e participo de eventos e cursos correlatos ao meu empreendimento para conhecer novos produtos, serviços e fornecedores.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106</xdr:row>
          <xdr:rowOff>76200</xdr:rowOff>
        </xdr:from>
        <xdr:to>
          <xdr:col>5</xdr:col>
          <xdr:colOff>66675</xdr:colOff>
          <xdr:row>107</xdr:row>
          <xdr:rowOff>104775</xdr:rowOff>
        </xdr:to>
        <xdr:sp macro="" textlink="">
          <xdr:nvSpPr>
            <xdr:cNvPr id="16548" name="Option Button 164" hidden="1">
              <a:extLst>
                <a:ext uri="{63B3BB69-23CF-44E3-9099-C40C66FF867C}">
                  <a14:compatExt spid="_x0000_s16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106</xdr:row>
          <xdr:rowOff>76200</xdr:rowOff>
        </xdr:from>
        <xdr:to>
          <xdr:col>9</xdr:col>
          <xdr:colOff>0</xdr:colOff>
          <xdr:row>107</xdr:row>
          <xdr:rowOff>104775</xdr:rowOff>
        </xdr:to>
        <xdr:sp macro="" textlink="">
          <xdr:nvSpPr>
            <xdr:cNvPr id="16549" name="Option Button 165" hidden="1">
              <a:extLst>
                <a:ext uri="{63B3BB69-23CF-44E3-9099-C40C66FF867C}">
                  <a14:compatExt spid="_x0000_s16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106</xdr:row>
          <xdr:rowOff>76200</xdr:rowOff>
        </xdr:from>
        <xdr:to>
          <xdr:col>12</xdr:col>
          <xdr:colOff>542925</xdr:colOff>
          <xdr:row>107</xdr:row>
          <xdr:rowOff>104775</xdr:rowOff>
        </xdr:to>
        <xdr:sp macro="" textlink="">
          <xdr:nvSpPr>
            <xdr:cNvPr id="16550" name="Option Button 166" hidden="1">
              <a:extLst>
                <a:ext uri="{63B3BB69-23CF-44E3-9099-C40C66FF867C}">
                  <a14:compatExt spid="_x0000_s16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106</xdr:row>
          <xdr:rowOff>76200</xdr:rowOff>
        </xdr:from>
        <xdr:to>
          <xdr:col>16</xdr:col>
          <xdr:colOff>476250</xdr:colOff>
          <xdr:row>107</xdr:row>
          <xdr:rowOff>104775</xdr:rowOff>
        </xdr:to>
        <xdr:sp macro="" textlink="">
          <xdr:nvSpPr>
            <xdr:cNvPr id="16551" name="Option Button 167" hidden="1">
              <a:extLst>
                <a:ext uri="{63B3BB69-23CF-44E3-9099-C40C66FF867C}">
                  <a14:compatExt spid="_x0000_s16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106</xdr:row>
          <xdr:rowOff>76200</xdr:rowOff>
        </xdr:from>
        <xdr:to>
          <xdr:col>20</xdr:col>
          <xdr:colOff>409575</xdr:colOff>
          <xdr:row>107</xdr:row>
          <xdr:rowOff>104775</xdr:rowOff>
        </xdr:to>
        <xdr:sp macro="" textlink="">
          <xdr:nvSpPr>
            <xdr:cNvPr id="16552" name="Option Button 168" hidden="1">
              <a:extLst>
                <a:ext uri="{63B3BB69-23CF-44E3-9099-C40C66FF867C}">
                  <a14:compatExt spid="_x0000_s16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109</xdr:row>
          <xdr:rowOff>0</xdr:rowOff>
        </xdr:from>
        <xdr:to>
          <xdr:col>20</xdr:col>
          <xdr:colOff>590550</xdr:colOff>
          <xdr:row>112</xdr:row>
          <xdr:rowOff>38100</xdr:rowOff>
        </xdr:to>
        <xdr:sp macro="" textlink="">
          <xdr:nvSpPr>
            <xdr:cNvPr id="16553" name="Group Box 169" hidden="1">
              <a:extLst>
                <a:ext uri="{63B3BB69-23CF-44E3-9099-C40C66FF867C}">
                  <a14:compatExt spid="_x0000_s16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29. Encontro oportunidades de novos negócios quando identifico necessidades ou diagnostico problemas reais.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110</xdr:row>
          <xdr:rowOff>9525</xdr:rowOff>
        </xdr:from>
        <xdr:to>
          <xdr:col>5</xdr:col>
          <xdr:colOff>66675</xdr:colOff>
          <xdr:row>111</xdr:row>
          <xdr:rowOff>38100</xdr:rowOff>
        </xdr:to>
        <xdr:sp macro="" textlink="">
          <xdr:nvSpPr>
            <xdr:cNvPr id="16554" name="Option Button 170" hidden="1">
              <a:extLst>
                <a:ext uri="{63B3BB69-23CF-44E3-9099-C40C66FF867C}">
                  <a14:compatExt spid="_x0000_s16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110</xdr:row>
          <xdr:rowOff>9525</xdr:rowOff>
        </xdr:from>
        <xdr:to>
          <xdr:col>9</xdr:col>
          <xdr:colOff>0</xdr:colOff>
          <xdr:row>111</xdr:row>
          <xdr:rowOff>38100</xdr:rowOff>
        </xdr:to>
        <xdr:sp macro="" textlink="">
          <xdr:nvSpPr>
            <xdr:cNvPr id="16555" name="Option Button 171" hidden="1">
              <a:extLst>
                <a:ext uri="{63B3BB69-23CF-44E3-9099-C40C66FF867C}">
                  <a14:compatExt spid="_x0000_s16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110</xdr:row>
          <xdr:rowOff>9525</xdr:rowOff>
        </xdr:from>
        <xdr:to>
          <xdr:col>12</xdr:col>
          <xdr:colOff>542925</xdr:colOff>
          <xdr:row>111</xdr:row>
          <xdr:rowOff>38100</xdr:rowOff>
        </xdr:to>
        <xdr:sp macro="" textlink="">
          <xdr:nvSpPr>
            <xdr:cNvPr id="16556" name="Option Button 172" hidden="1">
              <a:extLst>
                <a:ext uri="{63B3BB69-23CF-44E3-9099-C40C66FF867C}">
                  <a14:compatExt spid="_x0000_s16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110</xdr:row>
          <xdr:rowOff>9525</xdr:rowOff>
        </xdr:from>
        <xdr:to>
          <xdr:col>16</xdr:col>
          <xdr:colOff>476250</xdr:colOff>
          <xdr:row>111</xdr:row>
          <xdr:rowOff>38100</xdr:rowOff>
        </xdr:to>
        <xdr:sp macro="" textlink="">
          <xdr:nvSpPr>
            <xdr:cNvPr id="16557" name="Option Button 173" hidden="1">
              <a:extLst>
                <a:ext uri="{63B3BB69-23CF-44E3-9099-C40C66FF867C}">
                  <a14:compatExt spid="_x0000_s16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110</xdr:row>
          <xdr:rowOff>9525</xdr:rowOff>
        </xdr:from>
        <xdr:to>
          <xdr:col>20</xdr:col>
          <xdr:colOff>409575</xdr:colOff>
          <xdr:row>111</xdr:row>
          <xdr:rowOff>38100</xdr:rowOff>
        </xdr:to>
        <xdr:sp macro="" textlink="">
          <xdr:nvSpPr>
            <xdr:cNvPr id="16558" name="Option Button 174" hidden="1">
              <a:extLst>
                <a:ext uri="{63B3BB69-23CF-44E3-9099-C40C66FF867C}">
                  <a14:compatExt spid="_x0000_s16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112</xdr:row>
          <xdr:rowOff>123825</xdr:rowOff>
        </xdr:from>
        <xdr:to>
          <xdr:col>20</xdr:col>
          <xdr:colOff>590550</xdr:colOff>
          <xdr:row>115</xdr:row>
          <xdr:rowOff>161925</xdr:rowOff>
        </xdr:to>
        <xdr:sp macro="" textlink="">
          <xdr:nvSpPr>
            <xdr:cNvPr id="16559" name="Group Box 175" hidden="1">
              <a:extLst>
                <a:ext uri="{63B3BB69-23CF-44E3-9099-C40C66FF867C}">
                  <a14:compatExt spid="_x0000_s16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30. Realizaria vendas para clientes, ainda que não tenha lucro imediato e respeitando preço mínimo, tendo em vista, futuras possibilidades de outros negócios com eles.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113</xdr:row>
          <xdr:rowOff>133350</xdr:rowOff>
        </xdr:from>
        <xdr:to>
          <xdr:col>5</xdr:col>
          <xdr:colOff>66675</xdr:colOff>
          <xdr:row>114</xdr:row>
          <xdr:rowOff>161925</xdr:rowOff>
        </xdr:to>
        <xdr:sp macro="" textlink="">
          <xdr:nvSpPr>
            <xdr:cNvPr id="16560" name="Option Button 176" hidden="1">
              <a:extLst>
                <a:ext uri="{63B3BB69-23CF-44E3-9099-C40C66FF867C}">
                  <a14:compatExt spid="_x0000_s16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113</xdr:row>
          <xdr:rowOff>133350</xdr:rowOff>
        </xdr:from>
        <xdr:to>
          <xdr:col>9</xdr:col>
          <xdr:colOff>0</xdr:colOff>
          <xdr:row>114</xdr:row>
          <xdr:rowOff>161925</xdr:rowOff>
        </xdr:to>
        <xdr:sp macro="" textlink="">
          <xdr:nvSpPr>
            <xdr:cNvPr id="16561" name="Option Button 177" hidden="1">
              <a:extLst>
                <a:ext uri="{63B3BB69-23CF-44E3-9099-C40C66FF867C}">
                  <a14:compatExt spid="_x0000_s1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113</xdr:row>
          <xdr:rowOff>133350</xdr:rowOff>
        </xdr:from>
        <xdr:to>
          <xdr:col>12</xdr:col>
          <xdr:colOff>542925</xdr:colOff>
          <xdr:row>114</xdr:row>
          <xdr:rowOff>161925</xdr:rowOff>
        </xdr:to>
        <xdr:sp macro="" textlink="">
          <xdr:nvSpPr>
            <xdr:cNvPr id="16562" name="Option Button 178" hidden="1">
              <a:extLst>
                <a:ext uri="{63B3BB69-23CF-44E3-9099-C40C66FF867C}">
                  <a14:compatExt spid="_x0000_s16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113</xdr:row>
          <xdr:rowOff>133350</xdr:rowOff>
        </xdr:from>
        <xdr:to>
          <xdr:col>16</xdr:col>
          <xdr:colOff>476250</xdr:colOff>
          <xdr:row>114</xdr:row>
          <xdr:rowOff>161925</xdr:rowOff>
        </xdr:to>
        <xdr:sp macro="" textlink="">
          <xdr:nvSpPr>
            <xdr:cNvPr id="16563" name="Option Button 179" hidden="1">
              <a:extLst>
                <a:ext uri="{63B3BB69-23CF-44E3-9099-C40C66FF867C}">
                  <a14:compatExt spid="_x0000_s16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113</xdr:row>
          <xdr:rowOff>133350</xdr:rowOff>
        </xdr:from>
        <xdr:to>
          <xdr:col>20</xdr:col>
          <xdr:colOff>409575</xdr:colOff>
          <xdr:row>114</xdr:row>
          <xdr:rowOff>161925</xdr:rowOff>
        </xdr:to>
        <xdr:sp macro="" textlink="">
          <xdr:nvSpPr>
            <xdr:cNvPr id="16564" name="Option Button 180" hidden="1">
              <a:extLst>
                <a:ext uri="{63B3BB69-23CF-44E3-9099-C40C66FF867C}">
                  <a14:compatExt spid="_x0000_s16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371475</xdr:colOff>
      <xdr:row>116</xdr:row>
      <xdr:rowOff>66675</xdr:rowOff>
    </xdr:from>
    <xdr:to>
      <xdr:col>20</xdr:col>
      <xdr:colOff>572328</xdr:colOff>
      <xdr:row>119</xdr:row>
      <xdr:rowOff>74130</xdr:rowOff>
    </xdr:to>
    <xdr:sp macro="[0]!irparamenu" textlink="">
      <xdr:nvSpPr>
        <xdr:cNvPr id="3" name="CaixaDeTexto 2"/>
        <xdr:cNvSpPr txBox="1"/>
      </xdr:nvSpPr>
      <xdr:spPr>
        <a:xfrm>
          <a:off x="10239375" y="23326725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181705</xdr:colOff>
      <xdr:row>1</xdr:row>
      <xdr:rowOff>203940</xdr:rowOff>
    </xdr:to>
    <xdr:pic>
      <xdr:nvPicPr>
        <xdr:cNvPr id="4" name="Imagem 3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1925" y="47625"/>
          <a:ext cx="1962880" cy="442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180975</xdr:rowOff>
        </xdr:from>
        <xdr:to>
          <xdr:col>20</xdr:col>
          <xdr:colOff>590550</xdr:colOff>
          <xdr:row>10</xdr:row>
          <xdr:rowOff>28575</xdr:rowOff>
        </xdr:to>
        <xdr:sp macro="" textlink="">
          <xdr:nvSpPr>
            <xdr:cNvPr id="57345" name="Group Box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1. Quando desconheço algo, não me importo em buscar informações necessárias para o entendimento do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</xdr:row>
          <xdr:rowOff>0</xdr:rowOff>
        </xdr:from>
        <xdr:to>
          <xdr:col>5</xdr:col>
          <xdr:colOff>66675</xdr:colOff>
          <xdr:row>9</xdr:row>
          <xdr:rowOff>28575</xdr:rowOff>
        </xdr:to>
        <xdr:sp macro="" textlink="">
          <xdr:nvSpPr>
            <xdr:cNvPr id="57346" name="Option Button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</xdr:row>
          <xdr:rowOff>0</xdr:rowOff>
        </xdr:from>
        <xdr:to>
          <xdr:col>9</xdr:col>
          <xdr:colOff>0</xdr:colOff>
          <xdr:row>9</xdr:row>
          <xdr:rowOff>28575</xdr:rowOff>
        </xdr:to>
        <xdr:sp macro="" textlink="">
          <xdr:nvSpPr>
            <xdr:cNvPr id="57347" name="Option Button 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</xdr:row>
          <xdr:rowOff>0</xdr:rowOff>
        </xdr:from>
        <xdr:to>
          <xdr:col>12</xdr:col>
          <xdr:colOff>542925</xdr:colOff>
          <xdr:row>9</xdr:row>
          <xdr:rowOff>28575</xdr:rowOff>
        </xdr:to>
        <xdr:sp macro="" textlink="">
          <xdr:nvSpPr>
            <xdr:cNvPr id="57348" name="Option Button 4" hidden="1">
              <a:extLst>
                <a:ext uri="{63B3BB69-23CF-44E3-9099-C40C66FF867C}">
                  <a14:compatExt spid="_x0000_s57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</xdr:row>
          <xdr:rowOff>0</xdr:rowOff>
        </xdr:from>
        <xdr:to>
          <xdr:col>16</xdr:col>
          <xdr:colOff>476250</xdr:colOff>
          <xdr:row>9</xdr:row>
          <xdr:rowOff>28575</xdr:rowOff>
        </xdr:to>
        <xdr:sp macro="" textlink="">
          <xdr:nvSpPr>
            <xdr:cNvPr id="57349" name="Option Button 5" hidden="1">
              <a:extLst>
                <a:ext uri="{63B3BB69-23CF-44E3-9099-C40C66FF867C}">
                  <a14:compatExt spid="_x0000_s57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</xdr:row>
          <xdr:rowOff>0</xdr:rowOff>
        </xdr:from>
        <xdr:to>
          <xdr:col>20</xdr:col>
          <xdr:colOff>409575</xdr:colOff>
          <xdr:row>9</xdr:row>
          <xdr:rowOff>28575</xdr:rowOff>
        </xdr:to>
        <xdr:sp macro="" textlink="">
          <xdr:nvSpPr>
            <xdr:cNvPr id="57350" name="Option Button 6" hidden="1">
              <a:extLst>
                <a:ext uri="{63B3BB69-23CF-44E3-9099-C40C66FF867C}">
                  <a14:compatExt spid="_x0000_s57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114300</xdr:rowOff>
        </xdr:from>
        <xdr:to>
          <xdr:col>20</xdr:col>
          <xdr:colOff>590550</xdr:colOff>
          <xdr:row>13</xdr:row>
          <xdr:rowOff>152400</xdr:rowOff>
        </xdr:to>
        <xdr:sp macro="" textlink="">
          <xdr:nvSpPr>
            <xdr:cNvPr id="57351" name="Group Box 7" hidden="1">
              <a:extLst>
                <a:ext uri="{63B3BB69-23CF-44E3-9099-C40C66FF867C}">
                  <a14:compatExt spid="_x0000_s57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2. As pessoas concordam comigo baseadas em meus argumentos ou estratégias que adoto.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</xdr:row>
          <xdr:rowOff>123825</xdr:rowOff>
        </xdr:from>
        <xdr:to>
          <xdr:col>5</xdr:col>
          <xdr:colOff>66675</xdr:colOff>
          <xdr:row>12</xdr:row>
          <xdr:rowOff>152400</xdr:rowOff>
        </xdr:to>
        <xdr:sp macro="" textlink="">
          <xdr:nvSpPr>
            <xdr:cNvPr id="57352" name="Option Button 8" hidden="1">
              <a:extLst>
                <a:ext uri="{63B3BB69-23CF-44E3-9099-C40C66FF867C}">
                  <a14:compatExt spid="_x0000_s57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123825</xdr:rowOff>
        </xdr:from>
        <xdr:to>
          <xdr:col>9</xdr:col>
          <xdr:colOff>0</xdr:colOff>
          <xdr:row>12</xdr:row>
          <xdr:rowOff>152400</xdr:rowOff>
        </xdr:to>
        <xdr:sp macro="" textlink="">
          <xdr:nvSpPr>
            <xdr:cNvPr id="57353" name="Option Button 9" hidden="1">
              <a:extLst>
                <a:ext uri="{63B3BB69-23CF-44E3-9099-C40C66FF867C}">
                  <a14:compatExt spid="_x0000_s57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123825</xdr:rowOff>
        </xdr:from>
        <xdr:to>
          <xdr:col>12</xdr:col>
          <xdr:colOff>542925</xdr:colOff>
          <xdr:row>12</xdr:row>
          <xdr:rowOff>152400</xdr:rowOff>
        </xdr:to>
        <xdr:sp macro="" textlink="">
          <xdr:nvSpPr>
            <xdr:cNvPr id="57354" name="Option Button 10" hidden="1">
              <a:extLst>
                <a:ext uri="{63B3BB69-23CF-44E3-9099-C40C66FF867C}">
                  <a14:compatExt spid="_x0000_s57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11</xdr:row>
          <xdr:rowOff>123825</xdr:rowOff>
        </xdr:from>
        <xdr:to>
          <xdr:col>16</xdr:col>
          <xdr:colOff>476250</xdr:colOff>
          <xdr:row>12</xdr:row>
          <xdr:rowOff>152400</xdr:rowOff>
        </xdr:to>
        <xdr:sp macro="" textlink="">
          <xdr:nvSpPr>
            <xdr:cNvPr id="57355" name="Option Button 11" hidden="1">
              <a:extLst>
                <a:ext uri="{63B3BB69-23CF-44E3-9099-C40C66FF867C}">
                  <a14:compatExt spid="_x0000_s57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11</xdr:row>
          <xdr:rowOff>123825</xdr:rowOff>
        </xdr:from>
        <xdr:to>
          <xdr:col>20</xdr:col>
          <xdr:colOff>409575</xdr:colOff>
          <xdr:row>12</xdr:row>
          <xdr:rowOff>152400</xdr:rowOff>
        </xdr:to>
        <xdr:sp macro="" textlink="">
          <xdr:nvSpPr>
            <xdr:cNvPr id="57356" name="Option Button 12" hidden="1">
              <a:extLst>
                <a:ext uri="{63B3BB69-23CF-44E3-9099-C40C66FF867C}">
                  <a14:compatExt spid="_x0000_s57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47625</xdr:rowOff>
        </xdr:from>
        <xdr:to>
          <xdr:col>20</xdr:col>
          <xdr:colOff>590550</xdr:colOff>
          <xdr:row>17</xdr:row>
          <xdr:rowOff>85725</xdr:rowOff>
        </xdr:to>
        <xdr:sp macro="" textlink="">
          <xdr:nvSpPr>
            <xdr:cNvPr id="57357" name="Group Box 13" hidden="1">
              <a:extLst>
                <a:ext uri="{63B3BB69-23CF-44E3-9099-C40C66FF867C}">
                  <a14:compatExt spid="_x0000_s57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3. Escolho situações em que posso controlar ao máximo os resultados finais, considerando as possibilidades de êxito ou fracasso antes de agir.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15</xdr:row>
          <xdr:rowOff>57150</xdr:rowOff>
        </xdr:from>
        <xdr:to>
          <xdr:col>5</xdr:col>
          <xdr:colOff>66675</xdr:colOff>
          <xdr:row>16</xdr:row>
          <xdr:rowOff>85725</xdr:rowOff>
        </xdr:to>
        <xdr:sp macro="" textlink="">
          <xdr:nvSpPr>
            <xdr:cNvPr id="57358" name="Option Button 14" hidden="1">
              <a:extLst>
                <a:ext uri="{63B3BB69-23CF-44E3-9099-C40C66FF867C}">
                  <a14:compatExt spid="_x0000_s57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15</xdr:row>
          <xdr:rowOff>57150</xdr:rowOff>
        </xdr:from>
        <xdr:to>
          <xdr:col>9</xdr:col>
          <xdr:colOff>0</xdr:colOff>
          <xdr:row>16</xdr:row>
          <xdr:rowOff>85725</xdr:rowOff>
        </xdr:to>
        <xdr:sp macro="" textlink="">
          <xdr:nvSpPr>
            <xdr:cNvPr id="57359" name="Option Button 15" hidden="1">
              <a:extLst>
                <a:ext uri="{63B3BB69-23CF-44E3-9099-C40C66FF867C}">
                  <a14:compatExt spid="_x0000_s57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57150</xdr:rowOff>
        </xdr:from>
        <xdr:to>
          <xdr:col>12</xdr:col>
          <xdr:colOff>542925</xdr:colOff>
          <xdr:row>16</xdr:row>
          <xdr:rowOff>85725</xdr:rowOff>
        </xdr:to>
        <xdr:sp macro="" textlink="">
          <xdr:nvSpPr>
            <xdr:cNvPr id="57360" name="Option Button 16" hidden="1">
              <a:extLst>
                <a:ext uri="{63B3BB69-23CF-44E3-9099-C40C66FF867C}">
                  <a14:compatExt spid="_x0000_s57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15</xdr:row>
          <xdr:rowOff>57150</xdr:rowOff>
        </xdr:from>
        <xdr:to>
          <xdr:col>16</xdr:col>
          <xdr:colOff>476250</xdr:colOff>
          <xdr:row>16</xdr:row>
          <xdr:rowOff>85725</xdr:rowOff>
        </xdr:to>
        <xdr:sp macro="" textlink="">
          <xdr:nvSpPr>
            <xdr:cNvPr id="57361" name="Option Button 17" hidden="1">
              <a:extLst>
                <a:ext uri="{63B3BB69-23CF-44E3-9099-C40C66FF867C}">
                  <a14:compatExt spid="_x0000_s57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15</xdr:row>
          <xdr:rowOff>57150</xdr:rowOff>
        </xdr:from>
        <xdr:to>
          <xdr:col>20</xdr:col>
          <xdr:colOff>409575</xdr:colOff>
          <xdr:row>16</xdr:row>
          <xdr:rowOff>85725</xdr:rowOff>
        </xdr:to>
        <xdr:sp macro="" textlink="">
          <xdr:nvSpPr>
            <xdr:cNvPr id="57362" name="Option Button 18" hidden="1">
              <a:extLst>
                <a:ext uri="{63B3BB69-23CF-44E3-9099-C40C66FF867C}">
                  <a14:compatExt spid="_x0000_s57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171450</xdr:rowOff>
        </xdr:from>
        <xdr:to>
          <xdr:col>20</xdr:col>
          <xdr:colOff>590550</xdr:colOff>
          <xdr:row>21</xdr:row>
          <xdr:rowOff>19050</xdr:rowOff>
        </xdr:to>
        <xdr:sp macro="" textlink="">
          <xdr:nvSpPr>
            <xdr:cNvPr id="57363" name="Group Box 19" hidden="1">
              <a:extLst>
                <a:ext uri="{63B3BB69-23CF-44E3-9099-C40C66FF867C}">
                  <a14:compatExt spid="_x0000_s57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4. Diante das necessidades do mercado, implanto inovações nos produtos/serviços ofertados pelo empreendimento na minha responsabilidade ou amplio a área geográfica de atuação do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18</xdr:row>
          <xdr:rowOff>180975</xdr:rowOff>
        </xdr:from>
        <xdr:to>
          <xdr:col>5</xdr:col>
          <xdr:colOff>66675</xdr:colOff>
          <xdr:row>20</xdr:row>
          <xdr:rowOff>19050</xdr:rowOff>
        </xdr:to>
        <xdr:sp macro="" textlink="">
          <xdr:nvSpPr>
            <xdr:cNvPr id="57364" name="Option Button 20" hidden="1">
              <a:extLst>
                <a:ext uri="{63B3BB69-23CF-44E3-9099-C40C66FF867C}">
                  <a14:compatExt spid="_x0000_s57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18</xdr:row>
          <xdr:rowOff>180975</xdr:rowOff>
        </xdr:from>
        <xdr:to>
          <xdr:col>9</xdr:col>
          <xdr:colOff>0</xdr:colOff>
          <xdr:row>20</xdr:row>
          <xdr:rowOff>19050</xdr:rowOff>
        </xdr:to>
        <xdr:sp macro="" textlink="">
          <xdr:nvSpPr>
            <xdr:cNvPr id="57365" name="Option Button 21" hidden="1">
              <a:extLst>
                <a:ext uri="{63B3BB69-23CF-44E3-9099-C40C66FF867C}">
                  <a14:compatExt spid="_x0000_s57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18</xdr:row>
          <xdr:rowOff>180975</xdr:rowOff>
        </xdr:from>
        <xdr:to>
          <xdr:col>12</xdr:col>
          <xdr:colOff>542925</xdr:colOff>
          <xdr:row>20</xdr:row>
          <xdr:rowOff>19050</xdr:rowOff>
        </xdr:to>
        <xdr:sp macro="" textlink="">
          <xdr:nvSpPr>
            <xdr:cNvPr id="57366" name="Option Button 22" hidden="1">
              <a:extLst>
                <a:ext uri="{63B3BB69-23CF-44E3-9099-C40C66FF867C}">
                  <a14:compatExt spid="_x0000_s57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18</xdr:row>
          <xdr:rowOff>180975</xdr:rowOff>
        </xdr:from>
        <xdr:to>
          <xdr:col>16</xdr:col>
          <xdr:colOff>476250</xdr:colOff>
          <xdr:row>20</xdr:row>
          <xdr:rowOff>19050</xdr:rowOff>
        </xdr:to>
        <xdr:sp macro="" textlink="">
          <xdr:nvSpPr>
            <xdr:cNvPr id="57367" name="Option Button 23" hidden="1">
              <a:extLst>
                <a:ext uri="{63B3BB69-23CF-44E3-9099-C40C66FF867C}">
                  <a14:compatExt spid="_x0000_s57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18</xdr:row>
          <xdr:rowOff>180975</xdr:rowOff>
        </xdr:from>
        <xdr:to>
          <xdr:col>20</xdr:col>
          <xdr:colOff>409575</xdr:colOff>
          <xdr:row>20</xdr:row>
          <xdr:rowOff>19050</xdr:rowOff>
        </xdr:to>
        <xdr:sp macro="" textlink="">
          <xdr:nvSpPr>
            <xdr:cNvPr id="57368" name="Option Button 24" hidden="1">
              <a:extLst>
                <a:ext uri="{63B3BB69-23CF-44E3-9099-C40C66FF867C}">
                  <a14:compatExt spid="_x0000_s57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104775</xdr:rowOff>
        </xdr:from>
        <xdr:to>
          <xdr:col>20</xdr:col>
          <xdr:colOff>590550</xdr:colOff>
          <xdr:row>24</xdr:row>
          <xdr:rowOff>142875</xdr:rowOff>
        </xdr:to>
        <xdr:sp macro="" textlink="">
          <xdr:nvSpPr>
            <xdr:cNvPr id="57369" name="Group Box 25" hidden="1">
              <a:extLst>
                <a:ext uri="{63B3BB69-23CF-44E3-9099-C40C66FF867C}">
                  <a14:compatExt spid="_x0000_s57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5. Reconheço minha responsabilidade nas falhas e eventuais prejuízos financeiros do empreendimento e, além disso, tomo providências para corrigi-los.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22</xdr:row>
          <xdr:rowOff>114300</xdr:rowOff>
        </xdr:from>
        <xdr:to>
          <xdr:col>5</xdr:col>
          <xdr:colOff>66675</xdr:colOff>
          <xdr:row>23</xdr:row>
          <xdr:rowOff>142875</xdr:rowOff>
        </xdr:to>
        <xdr:sp macro="" textlink="">
          <xdr:nvSpPr>
            <xdr:cNvPr id="57370" name="Option Button 26" hidden="1">
              <a:extLst>
                <a:ext uri="{63B3BB69-23CF-44E3-9099-C40C66FF867C}">
                  <a14:compatExt spid="_x0000_s57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22</xdr:row>
          <xdr:rowOff>114300</xdr:rowOff>
        </xdr:from>
        <xdr:to>
          <xdr:col>9</xdr:col>
          <xdr:colOff>0</xdr:colOff>
          <xdr:row>23</xdr:row>
          <xdr:rowOff>142875</xdr:rowOff>
        </xdr:to>
        <xdr:sp macro="" textlink="">
          <xdr:nvSpPr>
            <xdr:cNvPr id="57371" name="Option Button 27" hidden="1">
              <a:extLst>
                <a:ext uri="{63B3BB69-23CF-44E3-9099-C40C66FF867C}">
                  <a14:compatExt spid="_x0000_s57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114300</xdr:rowOff>
        </xdr:from>
        <xdr:to>
          <xdr:col>12</xdr:col>
          <xdr:colOff>542925</xdr:colOff>
          <xdr:row>23</xdr:row>
          <xdr:rowOff>142875</xdr:rowOff>
        </xdr:to>
        <xdr:sp macro="" textlink="">
          <xdr:nvSpPr>
            <xdr:cNvPr id="57372" name="Option Button 28" hidden="1">
              <a:extLst>
                <a:ext uri="{63B3BB69-23CF-44E3-9099-C40C66FF867C}">
                  <a14:compatExt spid="_x0000_s57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22</xdr:row>
          <xdr:rowOff>114300</xdr:rowOff>
        </xdr:from>
        <xdr:to>
          <xdr:col>16</xdr:col>
          <xdr:colOff>476250</xdr:colOff>
          <xdr:row>23</xdr:row>
          <xdr:rowOff>142875</xdr:rowOff>
        </xdr:to>
        <xdr:sp macro="" textlink="">
          <xdr:nvSpPr>
            <xdr:cNvPr id="57373" name="Option Button 29" hidden="1">
              <a:extLst>
                <a:ext uri="{63B3BB69-23CF-44E3-9099-C40C66FF867C}">
                  <a14:compatExt spid="_x0000_s57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22</xdr:row>
          <xdr:rowOff>114300</xdr:rowOff>
        </xdr:from>
        <xdr:to>
          <xdr:col>20</xdr:col>
          <xdr:colOff>409575</xdr:colOff>
          <xdr:row>23</xdr:row>
          <xdr:rowOff>142875</xdr:rowOff>
        </xdr:to>
        <xdr:sp macro="" textlink="">
          <xdr:nvSpPr>
            <xdr:cNvPr id="57374" name="Option Button 30" hidden="1">
              <a:extLst>
                <a:ext uri="{63B3BB69-23CF-44E3-9099-C40C66FF867C}">
                  <a14:compatExt spid="_x0000_s57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38100</xdr:rowOff>
        </xdr:from>
        <xdr:to>
          <xdr:col>20</xdr:col>
          <xdr:colOff>590550</xdr:colOff>
          <xdr:row>28</xdr:row>
          <xdr:rowOff>76200</xdr:rowOff>
        </xdr:to>
        <xdr:sp macro="" textlink="">
          <xdr:nvSpPr>
            <xdr:cNvPr id="57375" name="Group Box 31" hidden="1">
              <a:extLst>
                <a:ext uri="{63B3BB69-23CF-44E3-9099-C40C66FF867C}">
                  <a14:compatExt spid="_x0000_s57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6. Acredito que posso ser bem sucedido em qualquer atividade que me proponho executar, mesmo sendo algo difícil ou desafiador.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26</xdr:row>
          <xdr:rowOff>47625</xdr:rowOff>
        </xdr:from>
        <xdr:to>
          <xdr:col>5</xdr:col>
          <xdr:colOff>66675</xdr:colOff>
          <xdr:row>27</xdr:row>
          <xdr:rowOff>76200</xdr:rowOff>
        </xdr:to>
        <xdr:sp macro="" textlink="">
          <xdr:nvSpPr>
            <xdr:cNvPr id="57376" name="Option Button 32" hidden="1">
              <a:extLst>
                <a:ext uri="{63B3BB69-23CF-44E3-9099-C40C66FF867C}">
                  <a14:compatExt spid="_x0000_s57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26</xdr:row>
          <xdr:rowOff>47625</xdr:rowOff>
        </xdr:from>
        <xdr:to>
          <xdr:col>9</xdr:col>
          <xdr:colOff>0</xdr:colOff>
          <xdr:row>27</xdr:row>
          <xdr:rowOff>76200</xdr:rowOff>
        </xdr:to>
        <xdr:sp macro="" textlink="">
          <xdr:nvSpPr>
            <xdr:cNvPr id="57377" name="Option Button 33" hidden="1">
              <a:extLst>
                <a:ext uri="{63B3BB69-23CF-44E3-9099-C40C66FF867C}">
                  <a14:compatExt spid="_x0000_s57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47625</xdr:rowOff>
        </xdr:from>
        <xdr:to>
          <xdr:col>12</xdr:col>
          <xdr:colOff>542925</xdr:colOff>
          <xdr:row>27</xdr:row>
          <xdr:rowOff>76200</xdr:rowOff>
        </xdr:to>
        <xdr:sp macro="" textlink="">
          <xdr:nvSpPr>
            <xdr:cNvPr id="57378" name="Option Button 34" hidden="1">
              <a:extLst>
                <a:ext uri="{63B3BB69-23CF-44E3-9099-C40C66FF867C}">
                  <a14:compatExt spid="_x0000_s57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26</xdr:row>
          <xdr:rowOff>47625</xdr:rowOff>
        </xdr:from>
        <xdr:to>
          <xdr:col>16</xdr:col>
          <xdr:colOff>476250</xdr:colOff>
          <xdr:row>27</xdr:row>
          <xdr:rowOff>76200</xdr:rowOff>
        </xdr:to>
        <xdr:sp macro="" textlink="">
          <xdr:nvSpPr>
            <xdr:cNvPr id="57379" name="Option Button 35" hidden="1">
              <a:extLst>
                <a:ext uri="{63B3BB69-23CF-44E3-9099-C40C66FF867C}">
                  <a14:compatExt spid="_x0000_s57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26</xdr:row>
          <xdr:rowOff>47625</xdr:rowOff>
        </xdr:from>
        <xdr:to>
          <xdr:col>20</xdr:col>
          <xdr:colOff>409575</xdr:colOff>
          <xdr:row>27</xdr:row>
          <xdr:rowOff>76200</xdr:rowOff>
        </xdr:to>
        <xdr:sp macro="" textlink="">
          <xdr:nvSpPr>
            <xdr:cNvPr id="57380" name="Option Button 36" hidden="1">
              <a:extLst>
                <a:ext uri="{63B3BB69-23CF-44E3-9099-C40C66FF867C}">
                  <a14:compatExt spid="_x0000_s57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133350</xdr:rowOff>
        </xdr:from>
        <xdr:to>
          <xdr:col>20</xdr:col>
          <xdr:colOff>590550</xdr:colOff>
          <xdr:row>31</xdr:row>
          <xdr:rowOff>171450</xdr:rowOff>
        </xdr:to>
        <xdr:sp macro="" textlink="">
          <xdr:nvSpPr>
            <xdr:cNvPr id="57381" name="Group Box 37" hidden="1">
              <a:extLst>
                <a:ext uri="{63B3BB69-23CF-44E3-9099-C40C66FF867C}">
                  <a14:compatExt spid="_x0000_s57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7. Meu rendimento no trabalho é bastante eficaz, pois faço as coisas de acordo com o estabelecido, dando ênfase à otimização do tempo.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29</xdr:row>
          <xdr:rowOff>142875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57382" name="Option Button 38" hidden="1">
              <a:extLst>
                <a:ext uri="{63B3BB69-23CF-44E3-9099-C40C66FF867C}">
                  <a14:compatExt spid="_x0000_s57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29</xdr:row>
          <xdr:rowOff>142875</xdr:rowOff>
        </xdr:from>
        <xdr:to>
          <xdr:col>9</xdr:col>
          <xdr:colOff>0</xdr:colOff>
          <xdr:row>30</xdr:row>
          <xdr:rowOff>171450</xdr:rowOff>
        </xdr:to>
        <xdr:sp macro="" textlink="">
          <xdr:nvSpPr>
            <xdr:cNvPr id="57383" name="Option Button 39" hidden="1">
              <a:extLst>
                <a:ext uri="{63B3BB69-23CF-44E3-9099-C40C66FF867C}">
                  <a14:compatExt spid="_x0000_s57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142875</xdr:rowOff>
        </xdr:from>
        <xdr:to>
          <xdr:col>12</xdr:col>
          <xdr:colOff>542925</xdr:colOff>
          <xdr:row>30</xdr:row>
          <xdr:rowOff>171450</xdr:rowOff>
        </xdr:to>
        <xdr:sp macro="" textlink="">
          <xdr:nvSpPr>
            <xdr:cNvPr id="57384" name="Option Button 40" hidden="1">
              <a:extLst>
                <a:ext uri="{63B3BB69-23CF-44E3-9099-C40C66FF867C}">
                  <a14:compatExt spid="_x0000_s57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29</xdr:row>
          <xdr:rowOff>142875</xdr:rowOff>
        </xdr:from>
        <xdr:to>
          <xdr:col>16</xdr:col>
          <xdr:colOff>476250</xdr:colOff>
          <xdr:row>30</xdr:row>
          <xdr:rowOff>171450</xdr:rowOff>
        </xdr:to>
        <xdr:sp macro="" textlink="">
          <xdr:nvSpPr>
            <xdr:cNvPr id="57385" name="Option Button 41" hidden="1">
              <a:extLst>
                <a:ext uri="{63B3BB69-23CF-44E3-9099-C40C66FF867C}">
                  <a14:compatExt spid="_x0000_s57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29</xdr:row>
          <xdr:rowOff>142875</xdr:rowOff>
        </xdr:from>
        <xdr:to>
          <xdr:col>20</xdr:col>
          <xdr:colOff>409575</xdr:colOff>
          <xdr:row>30</xdr:row>
          <xdr:rowOff>171450</xdr:rowOff>
        </xdr:to>
        <xdr:sp macro="" textlink="">
          <xdr:nvSpPr>
            <xdr:cNvPr id="57386" name="Option Button 42" hidden="1">
              <a:extLst>
                <a:ext uri="{63B3BB69-23CF-44E3-9099-C40C66FF867C}">
                  <a14:compatExt spid="_x0000_s57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66675</xdr:rowOff>
        </xdr:from>
        <xdr:to>
          <xdr:col>20</xdr:col>
          <xdr:colOff>590550</xdr:colOff>
          <xdr:row>35</xdr:row>
          <xdr:rowOff>104775</xdr:rowOff>
        </xdr:to>
        <xdr:sp macro="" textlink="">
          <xdr:nvSpPr>
            <xdr:cNvPr id="57387" name="Group Box 43" hidden="1">
              <a:extLst>
                <a:ext uri="{63B3BB69-23CF-44E3-9099-C40C66FF867C}">
                  <a14:compatExt spid="_x0000_s57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8. Não acredito que a minha opinião seja mais importante do que de outras pessoas sobre o que eu faço e a maneira como faço.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33</xdr:row>
          <xdr:rowOff>76200</xdr:rowOff>
        </xdr:from>
        <xdr:to>
          <xdr:col>5</xdr:col>
          <xdr:colOff>66675</xdr:colOff>
          <xdr:row>34</xdr:row>
          <xdr:rowOff>104775</xdr:rowOff>
        </xdr:to>
        <xdr:sp macro="" textlink="">
          <xdr:nvSpPr>
            <xdr:cNvPr id="57388" name="Option Button 44" hidden="1">
              <a:extLst>
                <a:ext uri="{63B3BB69-23CF-44E3-9099-C40C66FF867C}">
                  <a14:compatExt spid="_x0000_s57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33</xdr:row>
          <xdr:rowOff>76200</xdr:rowOff>
        </xdr:from>
        <xdr:to>
          <xdr:col>9</xdr:col>
          <xdr:colOff>0</xdr:colOff>
          <xdr:row>34</xdr:row>
          <xdr:rowOff>104775</xdr:rowOff>
        </xdr:to>
        <xdr:sp macro="" textlink="">
          <xdr:nvSpPr>
            <xdr:cNvPr id="57389" name="Option Button 45" hidden="1">
              <a:extLst>
                <a:ext uri="{63B3BB69-23CF-44E3-9099-C40C66FF867C}">
                  <a14:compatExt spid="_x0000_s57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76200</xdr:rowOff>
        </xdr:from>
        <xdr:to>
          <xdr:col>12</xdr:col>
          <xdr:colOff>542925</xdr:colOff>
          <xdr:row>34</xdr:row>
          <xdr:rowOff>104775</xdr:rowOff>
        </xdr:to>
        <xdr:sp macro="" textlink="">
          <xdr:nvSpPr>
            <xdr:cNvPr id="57390" name="Option Button 46" hidden="1">
              <a:extLst>
                <a:ext uri="{63B3BB69-23CF-44E3-9099-C40C66FF867C}">
                  <a14:compatExt spid="_x0000_s57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33</xdr:row>
          <xdr:rowOff>76200</xdr:rowOff>
        </xdr:from>
        <xdr:to>
          <xdr:col>16</xdr:col>
          <xdr:colOff>476250</xdr:colOff>
          <xdr:row>34</xdr:row>
          <xdr:rowOff>104775</xdr:rowOff>
        </xdr:to>
        <xdr:sp macro="" textlink="">
          <xdr:nvSpPr>
            <xdr:cNvPr id="57391" name="Option Button 47" hidden="1">
              <a:extLst>
                <a:ext uri="{63B3BB69-23CF-44E3-9099-C40C66FF867C}">
                  <a14:compatExt spid="_x0000_s57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33</xdr:row>
          <xdr:rowOff>76200</xdr:rowOff>
        </xdr:from>
        <xdr:to>
          <xdr:col>20</xdr:col>
          <xdr:colOff>409575</xdr:colOff>
          <xdr:row>34</xdr:row>
          <xdr:rowOff>104775</xdr:rowOff>
        </xdr:to>
        <xdr:sp macro="" textlink="">
          <xdr:nvSpPr>
            <xdr:cNvPr id="57392" name="Option Button 48" hidden="1">
              <a:extLst>
                <a:ext uri="{63B3BB69-23CF-44E3-9099-C40C66FF867C}">
                  <a14:compatExt spid="_x0000_s57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0</xdr:rowOff>
        </xdr:from>
        <xdr:to>
          <xdr:col>20</xdr:col>
          <xdr:colOff>590550</xdr:colOff>
          <xdr:row>39</xdr:row>
          <xdr:rowOff>38100</xdr:rowOff>
        </xdr:to>
        <xdr:sp macro="" textlink="">
          <xdr:nvSpPr>
            <xdr:cNvPr id="57393" name="Group Box 49" hidden="1">
              <a:extLst>
                <a:ext uri="{63B3BB69-23CF-44E3-9099-C40C66FF867C}">
                  <a14:compatExt spid="_x0000_s57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9.Executo minhas atividades e supervisiono as atividades dos funcionários no dia a dia do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37</xdr:row>
          <xdr:rowOff>9525</xdr:rowOff>
        </xdr:from>
        <xdr:to>
          <xdr:col>5</xdr:col>
          <xdr:colOff>66675</xdr:colOff>
          <xdr:row>38</xdr:row>
          <xdr:rowOff>38100</xdr:rowOff>
        </xdr:to>
        <xdr:sp macro="" textlink="">
          <xdr:nvSpPr>
            <xdr:cNvPr id="57394" name="Option Button 50" hidden="1">
              <a:extLst>
                <a:ext uri="{63B3BB69-23CF-44E3-9099-C40C66FF867C}">
                  <a14:compatExt spid="_x0000_s57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37</xdr:row>
          <xdr:rowOff>9525</xdr:rowOff>
        </xdr:from>
        <xdr:to>
          <xdr:col>9</xdr:col>
          <xdr:colOff>0</xdr:colOff>
          <xdr:row>38</xdr:row>
          <xdr:rowOff>38100</xdr:rowOff>
        </xdr:to>
        <xdr:sp macro="" textlink="">
          <xdr:nvSpPr>
            <xdr:cNvPr id="57395" name="Option Button 51" hidden="1">
              <a:extLst>
                <a:ext uri="{63B3BB69-23CF-44E3-9099-C40C66FF867C}">
                  <a14:compatExt spid="_x0000_s57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9525</xdr:rowOff>
        </xdr:from>
        <xdr:to>
          <xdr:col>12</xdr:col>
          <xdr:colOff>542925</xdr:colOff>
          <xdr:row>38</xdr:row>
          <xdr:rowOff>38100</xdr:rowOff>
        </xdr:to>
        <xdr:sp macro="" textlink="">
          <xdr:nvSpPr>
            <xdr:cNvPr id="57396" name="Option Button 52" hidden="1">
              <a:extLst>
                <a:ext uri="{63B3BB69-23CF-44E3-9099-C40C66FF867C}">
                  <a14:compatExt spid="_x0000_s57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37</xdr:row>
          <xdr:rowOff>9525</xdr:rowOff>
        </xdr:from>
        <xdr:to>
          <xdr:col>16</xdr:col>
          <xdr:colOff>476250</xdr:colOff>
          <xdr:row>38</xdr:row>
          <xdr:rowOff>38100</xdr:rowOff>
        </xdr:to>
        <xdr:sp macro="" textlink="">
          <xdr:nvSpPr>
            <xdr:cNvPr id="57397" name="Option Button 53" hidden="1">
              <a:extLst>
                <a:ext uri="{63B3BB69-23CF-44E3-9099-C40C66FF867C}">
                  <a14:compatExt spid="_x0000_s57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37</xdr:row>
          <xdr:rowOff>9525</xdr:rowOff>
        </xdr:from>
        <xdr:to>
          <xdr:col>20</xdr:col>
          <xdr:colOff>409575</xdr:colOff>
          <xdr:row>38</xdr:row>
          <xdr:rowOff>38100</xdr:rowOff>
        </xdr:to>
        <xdr:sp macro="" textlink="">
          <xdr:nvSpPr>
            <xdr:cNvPr id="57398" name="Option Button 54" hidden="1">
              <a:extLst>
                <a:ext uri="{63B3BB69-23CF-44E3-9099-C40C66FF867C}">
                  <a14:compatExt spid="_x0000_s57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123825</xdr:rowOff>
        </xdr:from>
        <xdr:to>
          <xdr:col>20</xdr:col>
          <xdr:colOff>590550</xdr:colOff>
          <xdr:row>42</xdr:row>
          <xdr:rowOff>161925</xdr:rowOff>
        </xdr:to>
        <xdr:sp macro="" textlink="">
          <xdr:nvSpPr>
            <xdr:cNvPr id="57399" name="Group Box 55" hidden="1">
              <a:extLst>
                <a:ext uri="{63B3BB69-23CF-44E3-9099-C40C66FF867C}">
                  <a14:compatExt spid="_x0000_s57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10. Adoto como parâmetro nas negociações, o ditado: "quem não arrisca, não petisca".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40</xdr:row>
          <xdr:rowOff>133350</xdr:rowOff>
        </xdr:from>
        <xdr:to>
          <xdr:col>5</xdr:col>
          <xdr:colOff>66675</xdr:colOff>
          <xdr:row>41</xdr:row>
          <xdr:rowOff>161925</xdr:rowOff>
        </xdr:to>
        <xdr:sp macro="" textlink="">
          <xdr:nvSpPr>
            <xdr:cNvPr id="57400" name="Option Button 56" hidden="1">
              <a:extLst>
                <a:ext uri="{63B3BB69-23CF-44E3-9099-C40C66FF867C}">
                  <a14:compatExt spid="_x0000_s57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40</xdr:row>
          <xdr:rowOff>133350</xdr:rowOff>
        </xdr:from>
        <xdr:to>
          <xdr:col>9</xdr:col>
          <xdr:colOff>0</xdr:colOff>
          <xdr:row>41</xdr:row>
          <xdr:rowOff>161925</xdr:rowOff>
        </xdr:to>
        <xdr:sp macro="" textlink="">
          <xdr:nvSpPr>
            <xdr:cNvPr id="57401" name="Option Button 57" hidden="1">
              <a:extLst>
                <a:ext uri="{63B3BB69-23CF-44E3-9099-C40C66FF867C}">
                  <a14:compatExt spid="_x0000_s57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133350</xdr:rowOff>
        </xdr:from>
        <xdr:to>
          <xdr:col>12</xdr:col>
          <xdr:colOff>542925</xdr:colOff>
          <xdr:row>41</xdr:row>
          <xdr:rowOff>161925</xdr:rowOff>
        </xdr:to>
        <xdr:sp macro="" textlink="">
          <xdr:nvSpPr>
            <xdr:cNvPr id="57402" name="Option Button 58" hidden="1">
              <a:extLst>
                <a:ext uri="{63B3BB69-23CF-44E3-9099-C40C66FF867C}">
                  <a14:compatExt spid="_x0000_s57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40</xdr:row>
          <xdr:rowOff>133350</xdr:rowOff>
        </xdr:from>
        <xdr:to>
          <xdr:col>16</xdr:col>
          <xdr:colOff>476250</xdr:colOff>
          <xdr:row>41</xdr:row>
          <xdr:rowOff>161925</xdr:rowOff>
        </xdr:to>
        <xdr:sp macro="" textlink="">
          <xdr:nvSpPr>
            <xdr:cNvPr id="57403" name="Option Button 59" hidden="1">
              <a:extLst>
                <a:ext uri="{63B3BB69-23CF-44E3-9099-C40C66FF867C}">
                  <a14:compatExt spid="_x0000_s57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40</xdr:row>
          <xdr:rowOff>133350</xdr:rowOff>
        </xdr:from>
        <xdr:to>
          <xdr:col>20</xdr:col>
          <xdr:colOff>409575</xdr:colOff>
          <xdr:row>41</xdr:row>
          <xdr:rowOff>161925</xdr:rowOff>
        </xdr:to>
        <xdr:sp macro="" textlink="">
          <xdr:nvSpPr>
            <xdr:cNvPr id="57404" name="Option Button 60" hidden="1">
              <a:extLst>
                <a:ext uri="{63B3BB69-23CF-44E3-9099-C40C66FF867C}">
                  <a14:compatExt spid="_x0000_s57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57150</xdr:rowOff>
        </xdr:from>
        <xdr:to>
          <xdr:col>20</xdr:col>
          <xdr:colOff>590550</xdr:colOff>
          <xdr:row>46</xdr:row>
          <xdr:rowOff>95250</xdr:rowOff>
        </xdr:to>
        <xdr:sp macro="" textlink="">
          <xdr:nvSpPr>
            <xdr:cNvPr id="57405" name="Group Box 61" hidden="1">
              <a:extLst>
                <a:ext uri="{63B3BB69-23CF-44E3-9099-C40C66FF867C}">
                  <a14:compatExt spid="_x0000_s57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11. Busco toda e qualquer informação disponível no mercado para utilizar no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44</xdr:row>
          <xdr:rowOff>66675</xdr:rowOff>
        </xdr:from>
        <xdr:to>
          <xdr:col>5</xdr:col>
          <xdr:colOff>66675</xdr:colOff>
          <xdr:row>45</xdr:row>
          <xdr:rowOff>95250</xdr:rowOff>
        </xdr:to>
        <xdr:sp macro="" textlink="">
          <xdr:nvSpPr>
            <xdr:cNvPr id="57406" name="Option Button 62" hidden="1">
              <a:extLst>
                <a:ext uri="{63B3BB69-23CF-44E3-9099-C40C66FF867C}">
                  <a14:compatExt spid="_x0000_s57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44</xdr:row>
          <xdr:rowOff>66675</xdr:rowOff>
        </xdr:from>
        <xdr:to>
          <xdr:col>9</xdr:col>
          <xdr:colOff>0</xdr:colOff>
          <xdr:row>45</xdr:row>
          <xdr:rowOff>95250</xdr:rowOff>
        </xdr:to>
        <xdr:sp macro="" textlink="">
          <xdr:nvSpPr>
            <xdr:cNvPr id="57407" name="Option Button 63" hidden="1">
              <a:extLst>
                <a:ext uri="{63B3BB69-23CF-44E3-9099-C40C66FF867C}">
                  <a14:compatExt spid="_x0000_s57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44</xdr:row>
          <xdr:rowOff>66675</xdr:rowOff>
        </xdr:from>
        <xdr:to>
          <xdr:col>12</xdr:col>
          <xdr:colOff>542925</xdr:colOff>
          <xdr:row>45</xdr:row>
          <xdr:rowOff>95250</xdr:rowOff>
        </xdr:to>
        <xdr:sp macro="" textlink="">
          <xdr:nvSpPr>
            <xdr:cNvPr id="57408" name="Option Button 64" hidden="1">
              <a:extLst>
                <a:ext uri="{63B3BB69-23CF-44E3-9099-C40C66FF867C}">
                  <a14:compatExt spid="_x0000_s57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44</xdr:row>
          <xdr:rowOff>66675</xdr:rowOff>
        </xdr:from>
        <xdr:to>
          <xdr:col>16</xdr:col>
          <xdr:colOff>476250</xdr:colOff>
          <xdr:row>45</xdr:row>
          <xdr:rowOff>95250</xdr:rowOff>
        </xdr:to>
        <xdr:sp macro="" textlink="">
          <xdr:nvSpPr>
            <xdr:cNvPr id="57409" name="Option Button 65" hidden="1">
              <a:extLst>
                <a:ext uri="{63B3BB69-23CF-44E3-9099-C40C66FF867C}">
                  <a14:compatExt spid="_x0000_s5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44</xdr:row>
          <xdr:rowOff>66675</xdr:rowOff>
        </xdr:from>
        <xdr:to>
          <xdr:col>20</xdr:col>
          <xdr:colOff>409575</xdr:colOff>
          <xdr:row>45</xdr:row>
          <xdr:rowOff>95250</xdr:rowOff>
        </xdr:to>
        <xdr:sp macro="" textlink="">
          <xdr:nvSpPr>
            <xdr:cNvPr id="57410" name="Option Button 66" hidden="1">
              <a:extLst>
                <a:ext uri="{63B3BB69-23CF-44E3-9099-C40C66FF867C}">
                  <a14:compatExt spid="_x0000_s5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180975</xdr:rowOff>
        </xdr:from>
        <xdr:to>
          <xdr:col>20</xdr:col>
          <xdr:colOff>590550</xdr:colOff>
          <xdr:row>50</xdr:row>
          <xdr:rowOff>28575</xdr:rowOff>
        </xdr:to>
        <xdr:sp macro="" textlink="">
          <xdr:nvSpPr>
            <xdr:cNvPr id="57411" name="Group Box 67" hidden="1">
              <a:extLst>
                <a:ext uri="{63B3BB69-23CF-44E3-9099-C40C66FF867C}">
                  <a14:compatExt spid="_x0000_s5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12. Sei, de forma clara, o que quero alcançar no horizonte de médio e longo prazos e estabeleço parâmetros que permitam pedir e avaliar o meu desempenho.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48</xdr:row>
          <xdr:rowOff>0</xdr:rowOff>
        </xdr:from>
        <xdr:to>
          <xdr:col>5</xdr:col>
          <xdr:colOff>66675</xdr:colOff>
          <xdr:row>49</xdr:row>
          <xdr:rowOff>28575</xdr:rowOff>
        </xdr:to>
        <xdr:sp macro="" textlink="">
          <xdr:nvSpPr>
            <xdr:cNvPr id="57412" name="Option Button 68" hidden="1">
              <a:extLst>
                <a:ext uri="{63B3BB69-23CF-44E3-9099-C40C66FF867C}">
                  <a14:compatExt spid="_x0000_s5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48</xdr:row>
          <xdr:rowOff>0</xdr:rowOff>
        </xdr:from>
        <xdr:to>
          <xdr:col>9</xdr:col>
          <xdr:colOff>0</xdr:colOff>
          <xdr:row>49</xdr:row>
          <xdr:rowOff>28575</xdr:rowOff>
        </xdr:to>
        <xdr:sp macro="" textlink="">
          <xdr:nvSpPr>
            <xdr:cNvPr id="57413" name="Option Button 69" hidden="1">
              <a:extLst>
                <a:ext uri="{63B3BB69-23CF-44E3-9099-C40C66FF867C}">
                  <a14:compatExt spid="_x0000_s5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48</xdr:row>
          <xdr:rowOff>0</xdr:rowOff>
        </xdr:from>
        <xdr:to>
          <xdr:col>12</xdr:col>
          <xdr:colOff>542925</xdr:colOff>
          <xdr:row>49</xdr:row>
          <xdr:rowOff>28575</xdr:rowOff>
        </xdr:to>
        <xdr:sp macro="" textlink="">
          <xdr:nvSpPr>
            <xdr:cNvPr id="57414" name="Option Button 70" hidden="1">
              <a:extLst>
                <a:ext uri="{63B3BB69-23CF-44E3-9099-C40C66FF867C}">
                  <a14:compatExt spid="_x0000_s57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48</xdr:row>
          <xdr:rowOff>0</xdr:rowOff>
        </xdr:from>
        <xdr:to>
          <xdr:col>16</xdr:col>
          <xdr:colOff>476250</xdr:colOff>
          <xdr:row>49</xdr:row>
          <xdr:rowOff>28575</xdr:rowOff>
        </xdr:to>
        <xdr:sp macro="" textlink="">
          <xdr:nvSpPr>
            <xdr:cNvPr id="57415" name="Option Button 71" hidden="1">
              <a:extLst>
                <a:ext uri="{63B3BB69-23CF-44E3-9099-C40C66FF867C}">
                  <a14:compatExt spid="_x0000_s5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48</xdr:row>
          <xdr:rowOff>0</xdr:rowOff>
        </xdr:from>
        <xdr:to>
          <xdr:col>20</xdr:col>
          <xdr:colOff>409575</xdr:colOff>
          <xdr:row>49</xdr:row>
          <xdr:rowOff>28575</xdr:rowOff>
        </xdr:to>
        <xdr:sp macro="" textlink="">
          <xdr:nvSpPr>
            <xdr:cNvPr id="57416" name="Option Button 72" hidden="1">
              <a:extLst>
                <a:ext uri="{63B3BB69-23CF-44E3-9099-C40C66FF867C}">
                  <a14:compatExt spid="_x0000_s57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114300</xdr:rowOff>
        </xdr:from>
        <xdr:to>
          <xdr:col>20</xdr:col>
          <xdr:colOff>590550</xdr:colOff>
          <xdr:row>53</xdr:row>
          <xdr:rowOff>152400</xdr:rowOff>
        </xdr:to>
        <xdr:sp macro="" textlink="">
          <xdr:nvSpPr>
            <xdr:cNvPr id="57417" name="Group Box 73" hidden="1">
              <a:extLst>
                <a:ext uri="{63B3BB69-23CF-44E3-9099-C40C66FF867C}">
                  <a14:compatExt spid="_x0000_s57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13. Faço as coisas preocupando-me com meus clientes, pois eles sempre têm razão e estão acima de qualquer coisa.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51</xdr:row>
          <xdr:rowOff>123825</xdr:rowOff>
        </xdr:from>
        <xdr:to>
          <xdr:col>5</xdr:col>
          <xdr:colOff>66675</xdr:colOff>
          <xdr:row>52</xdr:row>
          <xdr:rowOff>152400</xdr:rowOff>
        </xdr:to>
        <xdr:sp macro="" textlink="">
          <xdr:nvSpPr>
            <xdr:cNvPr id="57418" name="Option Button 74" hidden="1">
              <a:extLst>
                <a:ext uri="{63B3BB69-23CF-44E3-9099-C40C66FF867C}">
                  <a14:compatExt spid="_x0000_s57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51</xdr:row>
          <xdr:rowOff>123825</xdr:rowOff>
        </xdr:from>
        <xdr:to>
          <xdr:col>9</xdr:col>
          <xdr:colOff>0</xdr:colOff>
          <xdr:row>52</xdr:row>
          <xdr:rowOff>152400</xdr:rowOff>
        </xdr:to>
        <xdr:sp macro="" textlink="">
          <xdr:nvSpPr>
            <xdr:cNvPr id="57419" name="Option Button 75" hidden="1">
              <a:extLst>
                <a:ext uri="{63B3BB69-23CF-44E3-9099-C40C66FF867C}">
                  <a14:compatExt spid="_x0000_s57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51</xdr:row>
          <xdr:rowOff>123825</xdr:rowOff>
        </xdr:from>
        <xdr:to>
          <xdr:col>12</xdr:col>
          <xdr:colOff>542925</xdr:colOff>
          <xdr:row>52</xdr:row>
          <xdr:rowOff>152400</xdr:rowOff>
        </xdr:to>
        <xdr:sp macro="" textlink="">
          <xdr:nvSpPr>
            <xdr:cNvPr id="57420" name="Option Button 76" hidden="1">
              <a:extLst>
                <a:ext uri="{63B3BB69-23CF-44E3-9099-C40C66FF867C}">
                  <a14:compatExt spid="_x0000_s57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51</xdr:row>
          <xdr:rowOff>123825</xdr:rowOff>
        </xdr:from>
        <xdr:to>
          <xdr:col>16</xdr:col>
          <xdr:colOff>476250</xdr:colOff>
          <xdr:row>52</xdr:row>
          <xdr:rowOff>152400</xdr:rowOff>
        </xdr:to>
        <xdr:sp macro="" textlink="">
          <xdr:nvSpPr>
            <xdr:cNvPr id="57421" name="Option Button 77" hidden="1">
              <a:extLst>
                <a:ext uri="{63B3BB69-23CF-44E3-9099-C40C66FF867C}">
                  <a14:compatExt spid="_x0000_s5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51</xdr:row>
          <xdr:rowOff>123825</xdr:rowOff>
        </xdr:from>
        <xdr:to>
          <xdr:col>20</xdr:col>
          <xdr:colOff>409575</xdr:colOff>
          <xdr:row>52</xdr:row>
          <xdr:rowOff>152400</xdr:rowOff>
        </xdr:to>
        <xdr:sp macro="" textlink="">
          <xdr:nvSpPr>
            <xdr:cNvPr id="57422" name="Option Button 78" hidden="1">
              <a:extLst>
                <a:ext uri="{63B3BB69-23CF-44E3-9099-C40C66FF867C}">
                  <a14:compatExt spid="_x0000_s57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47625</xdr:rowOff>
        </xdr:from>
        <xdr:to>
          <xdr:col>20</xdr:col>
          <xdr:colOff>590550</xdr:colOff>
          <xdr:row>57</xdr:row>
          <xdr:rowOff>85725</xdr:rowOff>
        </xdr:to>
        <xdr:sp macro="" textlink="">
          <xdr:nvSpPr>
            <xdr:cNvPr id="57423" name="Group Box 79" hidden="1">
              <a:extLst>
                <a:ext uri="{63B3BB69-23CF-44E3-9099-C40C66FF867C}">
                  <a14:compatExt spid="_x0000_s57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14. Não é comum definir, a cada dia, o percentual de lucro que quero obter com 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55</xdr:row>
          <xdr:rowOff>57150</xdr:rowOff>
        </xdr:from>
        <xdr:to>
          <xdr:col>5</xdr:col>
          <xdr:colOff>66675</xdr:colOff>
          <xdr:row>56</xdr:row>
          <xdr:rowOff>85725</xdr:rowOff>
        </xdr:to>
        <xdr:sp macro="" textlink="">
          <xdr:nvSpPr>
            <xdr:cNvPr id="57424" name="Option Button 80" hidden="1">
              <a:extLst>
                <a:ext uri="{63B3BB69-23CF-44E3-9099-C40C66FF867C}">
                  <a14:compatExt spid="_x0000_s57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55</xdr:row>
          <xdr:rowOff>57150</xdr:rowOff>
        </xdr:from>
        <xdr:to>
          <xdr:col>9</xdr:col>
          <xdr:colOff>0</xdr:colOff>
          <xdr:row>56</xdr:row>
          <xdr:rowOff>85725</xdr:rowOff>
        </xdr:to>
        <xdr:sp macro="" textlink="">
          <xdr:nvSpPr>
            <xdr:cNvPr id="57425" name="Option Button 81" hidden="1">
              <a:extLst>
                <a:ext uri="{63B3BB69-23CF-44E3-9099-C40C66FF867C}">
                  <a14:compatExt spid="_x0000_s57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55</xdr:row>
          <xdr:rowOff>57150</xdr:rowOff>
        </xdr:from>
        <xdr:to>
          <xdr:col>12</xdr:col>
          <xdr:colOff>542925</xdr:colOff>
          <xdr:row>56</xdr:row>
          <xdr:rowOff>85725</xdr:rowOff>
        </xdr:to>
        <xdr:sp macro="" textlink="">
          <xdr:nvSpPr>
            <xdr:cNvPr id="57426" name="Option Button 82" hidden="1">
              <a:extLst>
                <a:ext uri="{63B3BB69-23CF-44E3-9099-C40C66FF867C}">
                  <a14:compatExt spid="_x0000_s57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55</xdr:row>
          <xdr:rowOff>57150</xdr:rowOff>
        </xdr:from>
        <xdr:to>
          <xdr:col>16</xdr:col>
          <xdr:colOff>476250</xdr:colOff>
          <xdr:row>56</xdr:row>
          <xdr:rowOff>85725</xdr:rowOff>
        </xdr:to>
        <xdr:sp macro="" textlink="">
          <xdr:nvSpPr>
            <xdr:cNvPr id="57427" name="Option Button 83" hidden="1">
              <a:extLst>
                <a:ext uri="{63B3BB69-23CF-44E3-9099-C40C66FF867C}">
                  <a14:compatExt spid="_x0000_s57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55</xdr:row>
          <xdr:rowOff>57150</xdr:rowOff>
        </xdr:from>
        <xdr:to>
          <xdr:col>20</xdr:col>
          <xdr:colOff>409575</xdr:colOff>
          <xdr:row>56</xdr:row>
          <xdr:rowOff>85725</xdr:rowOff>
        </xdr:to>
        <xdr:sp macro="" textlink="">
          <xdr:nvSpPr>
            <xdr:cNvPr id="57428" name="Option Button 84" hidden="1">
              <a:extLst>
                <a:ext uri="{63B3BB69-23CF-44E3-9099-C40C66FF867C}">
                  <a14:compatExt spid="_x0000_s57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171450</xdr:rowOff>
        </xdr:from>
        <xdr:to>
          <xdr:col>20</xdr:col>
          <xdr:colOff>590550</xdr:colOff>
          <xdr:row>61</xdr:row>
          <xdr:rowOff>19050</xdr:rowOff>
        </xdr:to>
        <xdr:sp macro="" textlink="">
          <xdr:nvSpPr>
            <xdr:cNvPr id="57429" name="Group Box 85" hidden="1">
              <a:extLst>
                <a:ext uri="{63B3BB69-23CF-44E3-9099-C40C66FF867C}">
                  <a14:compatExt spid="_x0000_s57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15. Quando tenho um projeto de grande porte, divido-o em tarefas mais simples, com prazos estabelecidos antecipadamente.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58</xdr:row>
          <xdr:rowOff>180975</xdr:rowOff>
        </xdr:from>
        <xdr:to>
          <xdr:col>5</xdr:col>
          <xdr:colOff>66675</xdr:colOff>
          <xdr:row>60</xdr:row>
          <xdr:rowOff>19050</xdr:rowOff>
        </xdr:to>
        <xdr:sp macro="" textlink="">
          <xdr:nvSpPr>
            <xdr:cNvPr id="57430" name="Option Button 86" hidden="1">
              <a:extLst>
                <a:ext uri="{63B3BB69-23CF-44E3-9099-C40C66FF867C}">
                  <a14:compatExt spid="_x0000_s57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58</xdr:row>
          <xdr:rowOff>180975</xdr:rowOff>
        </xdr:from>
        <xdr:to>
          <xdr:col>9</xdr:col>
          <xdr:colOff>0</xdr:colOff>
          <xdr:row>60</xdr:row>
          <xdr:rowOff>19050</xdr:rowOff>
        </xdr:to>
        <xdr:sp macro="" textlink="">
          <xdr:nvSpPr>
            <xdr:cNvPr id="57431" name="Option Button 87" hidden="1">
              <a:extLst>
                <a:ext uri="{63B3BB69-23CF-44E3-9099-C40C66FF867C}">
                  <a14:compatExt spid="_x0000_s57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58</xdr:row>
          <xdr:rowOff>180975</xdr:rowOff>
        </xdr:from>
        <xdr:to>
          <xdr:col>12</xdr:col>
          <xdr:colOff>542925</xdr:colOff>
          <xdr:row>60</xdr:row>
          <xdr:rowOff>19050</xdr:rowOff>
        </xdr:to>
        <xdr:sp macro="" textlink="">
          <xdr:nvSpPr>
            <xdr:cNvPr id="57432" name="Option Button 88" hidden="1">
              <a:extLst>
                <a:ext uri="{63B3BB69-23CF-44E3-9099-C40C66FF867C}">
                  <a14:compatExt spid="_x0000_s57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58</xdr:row>
          <xdr:rowOff>180975</xdr:rowOff>
        </xdr:from>
        <xdr:to>
          <xdr:col>16</xdr:col>
          <xdr:colOff>476250</xdr:colOff>
          <xdr:row>60</xdr:row>
          <xdr:rowOff>19050</xdr:rowOff>
        </xdr:to>
        <xdr:sp macro="" textlink="">
          <xdr:nvSpPr>
            <xdr:cNvPr id="57433" name="Option Button 89" hidden="1">
              <a:extLst>
                <a:ext uri="{63B3BB69-23CF-44E3-9099-C40C66FF867C}">
                  <a14:compatExt spid="_x0000_s57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58</xdr:row>
          <xdr:rowOff>180975</xdr:rowOff>
        </xdr:from>
        <xdr:to>
          <xdr:col>20</xdr:col>
          <xdr:colOff>409575</xdr:colOff>
          <xdr:row>60</xdr:row>
          <xdr:rowOff>19050</xdr:rowOff>
        </xdr:to>
        <xdr:sp macro="" textlink="">
          <xdr:nvSpPr>
            <xdr:cNvPr id="57434" name="Option Button 90" hidden="1">
              <a:extLst>
                <a:ext uri="{63B3BB69-23CF-44E3-9099-C40C66FF867C}">
                  <a14:compatExt spid="_x0000_s57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104775</xdr:rowOff>
        </xdr:from>
        <xdr:to>
          <xdr:col>20</xdr:col>
          <xdr:colOff>590550</xdr:colOff>
          <xdr:row>64</xdr:row>
          <xdr:rowOff>142875</xdr:rowOff>
        </xdr:to>
        <xdr:sp macro="" textlink="">
          <xdr:nvSpPr>
            <xdr:cNvPr id="57435" name="Group Box 91" hidden="1">
              <a:extLst>
                <a:ext uri="{63B3BB69-23CF-44E3-9099-C40C66FF867C}">
                  <a14:compatExt spid="_x0000_s57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16. Mesmo que eu já esteja obtendo bons resultados no empreendimento, encontro formas de melhorar o que faço (agilidade, custos, qualidade).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62</xdr:row>
          <xdr:rowOff>114300</xdr:rowOff>
        </xdr:from>
        <xdr:to>
          <xdr:col>5</xdr:col>
          <xdr:colOff>66675</xdr:colOff>
          <xdr:row>63</xdr:row>
          <xdr:rowOff>142875</xdr:rowOff>
        </xdr:to>
        <xdr:sp macro="" textlink="">
          <xdr:nvSpPr>
            <xdr:cNvPr id="57436" name="Option Button 92" hidden="1">
              <a:extLst>
                <a:ext uri="{63B3BB69-23CF-44E3-9099-C40C66FF867C}">
                  <a14:compatExt spid="_x0000_s57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62</xdr:row>
          <xdr:rowOff>114300</xdr:rowOff>
        </xdr:from>
        <xdr:to>
          <xdr:col>9</xdr:col>
          <xdr:colOff>0</xdr:colOff>
          <xdr:row>63</xdr:row>
          <xdr:rowOff>142875</xdr:rowOff>
        </xdr:to>
        <xdr:sp macro="" textlink="">
          <xdr:nvSpPr>
            <xdr:cNvPr id="57437" name="Option Button 93" hidden="1">
              <a:extLst>
                <a:ext uri="{63B3BB69-23CF-44E3-9099-C40C66FF867C}">
                  <a14:compatExt spid="_x0000_s57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62</xdr:row>
          <xdr:rowOff>114300</xdr:rowOff>
        </xdr:from>
        <xdr:to>
          <xdr:col>12</xdr:col>
          <xdr:colOff>542925</xdr:colOff>
          <xdr:row>63</xdr:row>
          <xdr:rowOff>142875</xdr:rowOff>
        </xdr:to>
        <xdr:sp macro="" textlink="">
          <xdr:nvSpPr>
            <xdr:cNvPr id="57438" name="Option Button 94" hidden="1">
              <a:extLst>
                <a:ext uri="{63B3BB69-23CF-44E3-9099-C40C66FF867C}">
                  <a14:compatExt spid="_x0000_s57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62</xdr:row>
          <xdr:rowOff>114300</xdr:rowOff>
        </xdr:from>
        <xdr:to>
          <xdr:col>16</xdr:col>
          <xdr:colOff>476250</xdr:colOff>
          <xdr:row>63</xdr:row>
          <xdr:rowOff>142875</xdr:rowOff>
        </xdr:to>
        <xdr:sp macro="" textlink="">
          <xdr:nvSpPr>
            <xdr:cNvPr id="57439" name="Option Button 95" hidden="1">
              <a:extLst>
                <a:ext uri="{63B3BB69-23CF-44E3-9099-C40C66FF867C}">
                  <a14:compatExt spid="_x0000_s57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62</xdr:row>
          <xdr:rowOff>114300</xdr:rowOff>
        </xdr:from>
        <xdr:to>
          <xdr:col>20</xdr:col>
          <xdr:colOff>409575</xdr:colOff>
          <xdr:row>63</xdr:row>
          <xdr:rowOff>142875</xdr:rowOff>
        </xdr:to>
        <xdr:sp macro="" textlink="">
          <xdr:nvSpPr>
            <xdr:cNvPr id="57440" name="Option Button 96" hidden="1">
              <a:extLst>
                <a:ext uri="{63B3BB69-23CF-44E3-9099-C40C66FF867C}">
                  <a14:compatExt spid="_x0000_s57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38100</xdr:rowOff>
        </xdr:from>
        <xdr:to>
          <xdr:col>20</xdr:col>
          <xdr:colOff>590550</xdr:colOff>
          <xdr:row>68</xdr:row>
          <xdr:rowOff>76200</xdr:rowOff>
        </xdr:to>
        <xdr:sp macro="" textlink="">
          <xdr:nvSpPr>
            <xdr:cNvPr id="57441" name="Group Box 97" hidden="1">
              <a:extLst>
                <a:ext uri="{63B3BB69-23CF-44E3-9099-C40C66FF867C}">
                  <a14:compatExt spid="_x0000_s57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17. Confio em minha capacidade de tomar decisões e solucionar problemas desafiantes que encontro na rotina do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66</xdr:row>
          <xdr:rowOff>47625</xdr:rowOff>
        </xdr:from>
        <xdr:to>
          <xdr:col>5</xdr:col>
          <xdr:colOff>66675</xdr:colOff>
          <xdr:row>67</xdr:row>
          <xdr:rowOff>76200</xdr:rowOff>
        </xdr:to>
        <xdr:sp macro="" textlink="">
          <xdr:nvSpPr>
            <xdr:cNvPr id="57442" name="Option Button 98" hidden="1">
              <a:extLst>
                <a:ext uri="{63B3BB69-23CF-44E3-9099-C40C66FF867C}">
                  <a14:compatExt spid="_x0000_s57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66</xdr:row>
          <xdr:rowOff>47625</xdr:rowOff>
        </xdr:from>
        <xdr:to>
          <xdr:col>9</xdr:col>
          <xdr:colOff>0</xdr:colOff>
          <xdr:row>67</xdr:row>
          <xdr:rowOff>76200</xdr:rowOff>
        </xdr:to>
        <xdr:sp macro="" textlink="">
          <xdr:nvSpPr>
            <xdr:cNvPr id="57443" name="Option Button 99" hidden="1">
              <a:extLst>
                <a:ext uri="{63B3BB69-23CF-44E3-9099-C40C66FF867C}">
                  <a14:compatExt spid="_x0000_s57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66</xdr:row>
          <xdr:rowOff>47625</xdr:rowOff>
        </xdr:from>
        <xdr:to>
          <xdr:col>12</xdr:col>
          <xdr:colOff>542925</xdr:colOff>
          <xdr:row>67</xdr:row>
          <xdr:rowOff>76200</xdr:rowOff>
        </xdr:to>
        <xdr:sp macro="" textlink="">
          <xdr:nvSpPr>
            <xdr:cNvPr id="57444" name="Option Button 100" hidden="1">
              <a:extLst>
                <a:ext uri="{63B3BB69-23CF-44E3-9099-C40C66FF867C}">
                  <a14:compatExt spid="_x0000_s57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66</xdr:row>
          <xdr:rowOff>47625</xdr:rowOff>
        </xdr:from>
        <xdr:to>
          <xdr:col>16</xdr:col>
          <xdr:colOff>476250</xdr:colOff>
          <xdr:row>67</xdr:row>
          <xdr:rowOff>76200</xdr:rowOff>
        </xdr:to>
        <xdr:sp macro="" textlink="">
          <xdr:nvSpPr>
            <xdr:cNvPr id="57445" name="Option Button 101" hidden="1">
              <a:extLst>
                <a:ext uri="{63B3BB69-23CF-44E3-9099-C40C66FF867C}">
                  <a14:compatExt spid="_x0000_s57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66</xdr:row>
          <xdr:rowOff>47625</xdr:rowOff>
        </xdr:from>
        <xdr:to>
          <xdr:col>20</xdr:col>
          <xdr:colOff>409575</xdr:colOff>
          <xdr:row>67</xdr:row>
          <xdr:rowOff>76200</xdr:rowOff>
        </xdr:to>
        <xdr:sp macro="" textlink="">
          <xdr:nvSpPr>
            <xdr:cNvPr id="57446" name="Option Button 102" hidden="1">
              <a:extLst>
                <a:ext uri="{63B3BB69-23CF-44E3-9099-C40C66FF867C}">
                  <a14:compatExt spid="_x0000_s57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161925</xdr:rowOff>
        </xdr:from>
        <xdr:to>
          <xdr:col>20</xdr:col>
          <xdr:colOff>590550</xdr:colOff>
          <xdr:row>72</xdr:row>
          <xdr:rowOff>9525</xdr:rowOff>
        </xdr:to>
        <xdr:sp macro="" textlink="">
          <xdr:nvSpPr>
            <xdr:cNvPr id="57447" name="Group Box 103" hidden="1">
              <a:extLst>
                <a:ext uri="{63B3BB69-23CF-44E3-9099-C40C66FF867C}">
                  <a14:compatExt spid="_x0000_s57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18. Na execução das atividades, minha intuição e criatividade costumam ser suficientes para decidir o que fazer, contudo, sei que organização e controle não são aspectos secundários.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69</xdr:row>
          <xdr:rowOff>171450</xdr:rowOff>
        </xdr:from>
        <xdr:to>
          <xdr:col>5</xdr:col>
          <xdr:colOff>66675</xdr:colOff>
          <xdr:row>71</xdr:row>
          <xdr:rowOff>9525</xdr:rowOff>
        </xdr:to>
        <xdr:sp macro="" textlink="">
          <xdr:nvSpPr>
            <xdr:cNvPr id="57448" name="Option Button 104" hidden="1">
              <a:extLst>
                <a:ext uri="{63B3BB69-23CF-44E3-9099-C40C66FF867C}">
                  <a14:compatExt spid="_x0000_s57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69</xdr:row>
          <xdr:rowOff>171450</xdr:rowOff>
        </xdr:from>
        <xdr:to>
          <xdr:col>9</xdr:col>
          <xdr:colOff>0</xdr:colOff>
          <xdr:row>71</xdr:row>
          <xdr:rowOff>9525</xdr:rowOff>
        </xdr:to>
        <xdr:sp macro="" textlink="">
          <xdr:nvSpPr>
            <xdr:cNvPr id="57449" name="Option Button 105" hidden="1">
              <a:extLst>
                <a:ext uri="{63B3BB69-23CF-44E3-9099-C40C66FF867C}">
                  <a14:compatExt spid="_x0000_s57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69</xdr:row>
          <xdr:rowOff>171450</xdr:rowOff>
        </xdr:from>
        <xdr:to>
          <xdr:col>12</xdr:col>
          <xdr:colOff>542925</xdr:colOff>
          <xdr:row>71</xdr:row>
          <xdr:rowOff>9525</xdr:rowOff>
        </xdr:to>
        <xdr:sp macro="" textlink="">
          <xdr:nvSpPr>
            <xdr:cNvPr id="57450" name="Option Button 106" hidden="1">
              <a:extLst>
                <a:ext uri="{63B3BB69-23CF-44E3-9099-C40C66FF867C}">
                  <a14:compatExt spid="_x0000_s57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69</xdr:row>
          <xdr:rowOff>171450</xdr:rowOff>
        </xdr:from>
        <xdr:to>
          <xdr:col>16</xdr:col>
          <xdr:colOff>476250</xdr:colOff>
          <xdr:row>71</xdr:row>
          <xdr:rowOff>9525</xdr:rowOff>
        </xdr:to>
        <xdr:sp macro="" textlink="">
          <xdr:nvSpPr>
            <xdr:cNvPr id="57451" name="Option Button 107" hidden="1">
              <a:extLst>
                <a:ext uri="{63B3BB69-23CF-44E3-9099-C40C66FF867C}">
                  <a14:compatExt spid="_x0000_s57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69</xdr:row>
          <xdr:rowOff>171450</xdr:rowOff>
        </xdr:from>
        <xdr:to>
          <xdr:col>20</xdr:col>
          <xdr:colOff>409575</xdr:colOff>
          <xdr:row>71</xdr:row>
          <xdr:rowOff>9525</xdr:rowOff>
        </xdr:to>
        <xdr:sp macro="" textlink="">
          <xdr:nvSpPr>
            <xdr:cNvPr id="57452" name="Option Button 108" hidden="1">
              <a:extLst>
                <a:ext uri="{63B3BB69-23CF-44E3-9099-C40C66FF867C}">
                  <a14:compatExt spid="_x0000_s57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72</xdr:row>
          <xdr:rowOff>95250</xdr:rowOff>
        </xdr:from>
        <xdr:to>
          <xdr:col>20</xdr:col>
          <xdr:colOff>590550</xdr:colOff>
          <xdr:row>75</xdr:row>
          <xdr:rowOff>133350</xdr:rowOff>
        </xdr:to>
        <xdr:sp macro="" textlink="">
          <xdr:nvSpPr>
            <xdr:cNvPr id="57453" name="Group Box 109" hidden="1">
              <a:extLst>
                <a:ext uri="{63B3BB69-23CF-44E3-9099-C40C66FF867C}">
                  <a14:compatExt spid="_x0000_s57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19. Identifico pessoas influentes e solicito apoio delas para alcançar minhas metas, pois somente assim consigo obter resultados positivos.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73</xdr:row>
          <xdr:rowOff>104775</xdr:rowOff>
        </xdr:from>
        <xdr:to>
          <xdr:col>5</xdr:col>
          <xdr:colOff>66675</xdr:colOff>
          <xdr:row>74</xdr:row>
          <xdr:rowOff>133350</xdr:rowOff>
        </xdr:to>
        <xdr:sp macro="" textlink="">
          <xdr:nvSpPr>
            <xdr:cNvPr id="57454" name="Option Button 110" hidden="1">
              <a:extLst>
                <a:ext uri="{63B3BB69-23CF-44E3-9099-C40C66FF867C}">
                  <a14:compatExt spid="_x0000_s57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73</xdr:row>
          <xdr:rowOff>104775</xdr:rowOff>
        </xdr:from>
        <xdr:to>
          <xdr:col>9</xdr:col>
          <xdr:colOff>0</xdr:colOff>
          <xdr:row>74</xdr:row>
          <xdr:rowOff>133350</xdr:rowOff>
        </xdr:to>
        <xdr:sp macro="" textlink="">
          <xdr:nvSpPr>
            <xdr:cNvPr id="57455" name="Option Button 111" hidden="1">
              <a:extLst>
                <a:ext uri="{63B3BB69-23CF-44E3-9099-C40C66FF867C}">
                  <a14:compatExt spid="_x0000_s57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73</xdr:row>
          <xdr:rowOff>104775</xdr:rowOff>
        </xdr:from>
        <xdr:to>
          <xdr:col>12</xdr:col>
          <xdr:colOff>542925</xdr:colOff>
          <xdr:row>74</xdr:row>
          <xdr:rowOff>133350</xdr:rowOff>
        </xdr:to>
        <xdr:sp macro="" textlink="">
          <xdr:nvSpPr>
            <xdr:cNvPr id="57456" name="Option Button 112" hidden="1">
              <a:extLst>
                <a:ext uri="{63B3BB69-23CF-44E3-9099-C40C66FF867C}">
                  <a14:compatExt spid="_x0000_s57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73</xdr:row>
          <xdr:rowOff>104775</xdr:rowOff>
        </xdr:from>
        <xdr:to>
          <xdr:col>16</xdr:col>
          <xdr:colOff>476250</xdr:colOff>
          <xdr:row>74</xdr:row>
          <xdr:rowOff>133350</xdr:rowOff>
        </xdr:to>
        <xdr:sp macro="" textlink="">
          <xdr:nvSpPr>
            <xdr:cNvPr id="57457" name="Option Button 113" hidden="1">
              <a:extLst>
                <a:ext uri="{63B3BB69-23CF-44E3-9099-C40C66FF867C}">
                  <a14:compatExt spid="_x0000_s5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73</xdr:row>
          <xdr:rowOff>104775</xdr:rowOff>
        </xdr:from>
        <xdr:to>
          <xdr:col>20</xdr:col>
          <xdr:colOff>409575</xdr:colOff>
          <xdr:row>74</xdr:row>
          <xdr:rowOff>133350</xdr:rowOff>
        </xdr:to>
        <xdr:sp macro="" textlink="">
          <xdr:nvSpPr>
            <xdr:cNvPr id="57458" name="Option Button 114" hidden="1">
              <a:extLst>
                <a:ext uri="{63B3BB69-23CF-44E3-9099-C40C66FF867C}">
                  <a14:compatExt spid="_x0000_s57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76</xdr:row>
          <xdr:rowOff>28575</xdr:rowOff>
        </xdr:from>
        <xdr:to>
          <xdr:col>20</xdr:col>
          <xdr:colOff>590550</xdr:colOff>
          <xdr:row>79</xdr:row>
          <xdr:rowOff>66675</xdr:rowOff>
        </xdr:to>
        <xdr:sp macro="" textlink="">
          <xdr:nvSpPr>
            <xdr:cNvPr id="57459" name="Group Box 115" hidden="1">
              <a:extLst>
                <a:ext uri="{63B3BB69-23CF-44E3-9099-C40C66FF867C}">
                  <a14:compatExt spid="_x0000_s57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20. Sendo necessário, possível e viável, costumo insistir para conseguir o que pretendo.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77</xdr:row>
          <xdr:rowOff>38100</xdr:rowOff>
        </xdr:from>
        <xdr:to>
          <xdr:col>5</xdr:col>
          <xdr:colOff>66675</xdr:colOff>
          <xdr:row>78</xdr:row>
          <xdr:rowOff>66675</xdr:rowOff>
        </xdr:to>
        <xdr:sp macro="" textlink="">
          <xdr:nvSpPr>
            <xdr:cNvPr id="57460" name="Option Button 116" hidden="1">
              <a:extLst>
                <a:ext uri="{63B3BB69-23CF-44E3-9099-C40C66FF867C}">
                  <a14:compatExt spid="_x0000_s57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77</xdr:row>
          <xdr:rowOff>38100</xdr:rowOff>
        </xdr:from>
        <xdr:to>
          <xdr:col>9</xdr:col>
          <xdr:colOff>0</xdr:colOff>
          <xdr:row>78</xdr:row>
          <xdr:rowOff>66675</xdr:rowOff>
        </xdr:to>
        <xdr:sp macro="" textlink="">
          <xdr:nvSpPr>
            <xdr:cNvPr id="57461" name="Option Button 117" hidden="1">
              <a:extLst>
                <a:ext uri="{63B3BB69-23CF-44E3-9099-C40C66FF867C}">
                  <a14:compatExt spid="_x0000_s57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77</xdr:row>
          <xdr:rowOff>38100</xdr:rowOff>
        </xdr:from>
        <xdr:to>
          <xdr:col>12</xdr:col>
          <xdr:colOff>542925</xdr:colOff>
          <xdr:row>78</xdr:row>
          <xdr:rowOff>66675</xdr:rowOff>
        </xdr:to>
        <xdr:sp macro="" textlink="">
          <xdr:nvSpPr>
            <xdr:cNvPr id="57462" name="Option Button 118" hidden="1">
              <a:extLst>
                <a:ext uri="{63B3BB69-23CF-44E3-9099-C40C66FF867C}">
                  <a14:compatExt spid="_x0000_s57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77</xdr:row>
          <xdr:rowOff>38100</xdr:rowOff>
        </xdr:from>
        <xdr:to>
          <xdr:col>16</xdr:col>
          <xdr:colOff>476250</xdr:colOff>
          <xdr:row>78</xdr:row>
          <xdr:rowOff>66675</xdr:rowOff>
        </xdr:to>
        <xdr:sp macro="" textlink="">
          <xdr:nvSpPr>
            <xdr:cNvPr id="57463" name="Option Button 119" hidden="1">
              <a:extLst>
                <a:ext uri="{63B3BB69-23CF-44E3-9099-C40C66FF867C}">
                  <a14:compatExt spid="_x0000_s57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77</xdr:row>
          <xdr:rowOff>38100</xdr:rowOff>
        </xdr:from>
        <xdr:to>
          <xdr:col>20</xdr:col>
          <xdr:colOff>409575</xdr:colOff>
          <xdr:row>78</xdr:row>
          <xdr:rowOff>66675</xdr:rowOff>
        </xdr:to>
        <xdr:sp macro="" textlink="">
          <xdr:nvSpPr>
            <xdr:cNvPr id="57464" name="Option Button 120" hidden="1">
              <a:extLst>
                <a:ext uri="{63B3BB69-23CF-44E3-9099-C40C66FF867C}">
                  <a14:compatExt spid="_x0000_s57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79</xdr:row>
          <xdr:rowOff>152400</xdr:rowOff>
        </xdr:from>
        <xdr:to>
          <xdr:col>20</xdr:col>
          <xdr:colOff>590550</xdr:colOff>
          <xdr:row>83</xdr:row>
          <xdr:rowOff>0</xdr:rowOff>
        </xdr:to>
        <xdr:sp macro="" textlink="">
          <xdr:nvSpPr>
            <xdr:cNvPr id="57465" name="Group Box 121" hidden="1">
              <a:extLst>
                <a:ext uri="{63B3BB69-23CF-44E3-9099-C40C66FF867C}">
                  <a14:compatExt spid="_x0000_s57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21. Quando necessário, possível e viável, aproveito as oportunidades que surgem no mercado, pois elas trazem retorno financeiro.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80</xdr:row>
          <xdr:rowOff>161925</xdr:rowOff>
        </xdr:from>
        <xdr:to>
          <xdr:col>5</xdr:col>
          <xdr:colOff>66675</xdr:colOff>
          <xdr:row>82</xdr:row>
          <xdr:rowOff>0</xdr:rowOff>
        </xdr:to>
        <xdr:sp macro="" textlink="">
          <xdr:nvSpPr>
            <xdr:cNvPr id="57466" name="Option Button 122" hidden="1">
              <a:extLst>
                <a:ext uri="{63B3BB69-23CF-44E3-9099-C40C66FF867C}">
                  <a14:compatExt spid="_x0000_s57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80</xdr:row>
          <xdr:rowOff>161925</xdr:rowOff>
        </xdr:from>
        <xdr:to>
          <xdr:col>9</xdr:col>
          <xdr:colOff>0</xdr:colOff>
          <xdr:row>82</xdr:row>
          <xdr:rowOff>0</xdr:rowOff>
        </xdr:to>
        <xdr:sp macro="" textlink="">
          <xdr:nvSpPr>
            <xdr:cNvPr id="57467" name="Option Button 123" hidden="1">
              <a:extLst>
                <a:ext uri="{63B3BB69-23CF-44E3-9099-C40C66FF867C}">
                  <a14:compatExt spid="_x0000_s57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80</xdr:row>
          <xdr:rowOff>161925</xdr:rowOff>
        </xdr:from>
        <xdr:to>
          <xdr:col>12</xdr:col>
          <xdr:colOff>542925</xdr:colOff>
          <xdr:row>82</xdr:row>
          <xdr:rowOff>0</xdr:rowOff>
        </xdr:to>
        <xdr:sp macro="" textlink="">
          <xdr:nvSpPr>
            <xdr:cNvPr id="57468" name="Option Button 124" hidden="1">
              <a:extLst>
                <a:ext uri="{63B3BB69-23CF-44E3-9099-C40C66FF867C}">
                  <a14:compatExt spid="_x0000_s57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80</xdr:row>
          <xdr:rowOff>161925</xdr:rowOff>
        </xdr:from>
        <xdr:to>
          <xdr:col>16</xdr:col>
          <xdr:colOff>476250</xdr:colOff>
          <xdr:row>82</xdr:row>
          <xdr:rowOff>0</xdr:rowOff>
        </xdr:to>
        <xdr:sp macro="" textlink="">
          <xdr:nvSpPr>
            <xdr:cNvPr id="57469" name="Option Button 125" hidden="1">
              <a:extLst>
                <a:ext uri="{63B3BB69-23CF-44E3-9099-C40C66FF867C}">
                  <a14:compatExt spid="_x0000_s57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80</xdr:row>
          <xdr:rowOff>161925</xdr:rowOff>
        </xdr:from>
        <xdr:to>
          <xdr:col>20</xdr:col>
          <xdr:colOff>409575</xdr:colOff>
          <xdr:row>82</xdr:row>
          <xdr:rowOff>0</xdr:rowOff>
        </xdr:to>
        <xdr:sp macro="" textlink="">
          <xdr:nvSpPr>
            <xdr:cNvPr id="57470" name="Option Button 126" hidden="1">
              <a:extLst>
                <a:ext uri="{63B3BB69-23CF-44E3-9099-C40C66FF867C}">
                  <a14:compatExt spid="_x0000_s57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83</xdr:row>
          <xdr:rowOff>85725</xdr:rowOff>
        </xdr:from>
        <xdr:to>
          <xdr:col>20</xdr:col>
          <xdr:colOff>590550</xdr:colOff>
          <xdr:row>86</xdr:row>
          <xdr:rowOff>123825</xdr:rowOff>
        </xdr:to>
        <xdr:sp macro="" textlink="">
          <xdr:nvSpPr>
            <xdr:cNvPr id="57471" name="Group Box 127" hidden="1">
              <a:extLst>
                <a:ext uri="{63B3BB69-23CF-44E3-9099-C40C66FF867C}">
                  <a14:compatExt spid="_x0000_s57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22. Não é comum enviar, brindes aos clientes em momentos específicos, independente de ser com objetivos comerciais ou não.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84</xdr:row>
          <xdr:rowOff>95250</xdr:rowOff>
        </xdr:from>
        <xdr:to>
          <xdr:col>5</xdr:col>
          <xdr:colOff>66675</xdr:colOff>
          <xdr:row>85</xdr:row>
          <xdr:rowOff>123825</xdr:rowOff>
        </xdr:to>
        <xdr:sp macro="" textlink="">
          <xdr:nvSpPr>
            <xdr:cNvPr id="57472" name="Option Button 128" hidden="1">
              <a:extLst>
                <a:ext uri="{63B3BB69-23CF-44E3-9099-C40C66FF867C}">
                  <a14:compatExt spid="_x0000_s57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84</xdr:row>
          <xdr:rowOff>95250</xdr:rowOff>
        </xdr:from>
        <xdr:to>
          <xdr:col>9</xdr:col>
          <xdr:colOff>0</xdr:colOff>
          <xdr:row>85</xdr:row>
          <xdr:rowOff>123825</xdr:rowOff>
        </xdr:to>
        <xdr:sp macro="" textlink="">
          <xdr:nvSpPr>
            <xdr:cNvPr id="57473" name="Option Button 129" hidden="1">
              <a:extLst>
                <a:ext uri="{63B3BB69-23CF-44E3-9099-C40C66FF867C}">
                  <a14:compatExt spid="_x0000_s57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84</xdr:row>
          <xdr:rowOff>95250</xdr:rowOff>
        </xdr:from>
        <xdr:to>
          <xdr:col>12</xdr:col>
          <xdr:colOff>542925</xdr:colOff>
          <xdr:row>85</xdr:row>
          <xdr:rowOff>123825</xdr:rowOff>
        </xdr:to>
        <xdr:sp macro="" textlink="">
          <xdr:nvSpPr>
            <xdr:cNvPr id="57474" name="Option Button 130" hidden="1">
              <a:extLst>
                <a:ext uri="{63B3BB69-23CF-44E3-9099-C40C66FF867C}">
                  <a14:compatExt spid="_x0000_s57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84</xdr:row>
          <xdr:rowOff>95250</xdr:rowOff>
        </xdr:from>
        <xdr:to>
          <xdr:col>16</xdr:col>
          <xdr:colOff>476250</xdr:colOff>
          <xdr:row>85</xdr:row>
          <xdr:rowOff>123825</xdr:rowOff>
        </xdr:to>
        <xdr:sp macro="" textlink="">
          <xdr:nvSpPr>
            <xdr:cNvPr id="57475" name="Option Button 131" hidden="1">
              <a:extLst>
                <a:ext uri="{63B3BB69-23CF-44E3-9099-C40C66FF867C}">
                  <a14:compatExt spid="_x0000_s57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84</xdr:row>
          <xdr:rowOff>95250</xdr:rowOff>
        </xdr:from>
        <xdr:to>
          <xdr:col>20</xdr:col>
          <xdr:colOff>409575</xdr:colOff>
          <xdr:row>85</xdr:row>
          <xdr:rowOff>123825</xdr:rowOff>
        </xdr:to>
        <xdr:sp macro="" textlink="">
          <xdr:nvSpPr>
            <xdr:cNvPr id="57476" name="Option Button 132" hidden="1">
              <a:extLst>
                <a:ext uri="{63B3BB69-23CF-44E3-9099-C40C66FF867C}">
                  <a14:compatExt spid="_x0000_s57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87</xdr:row>
          <xdr:rowOff>19050</xdr:rowOff>
        </xdr:from>
        <xdr:to>
          <xdr:col>20</xdr:col>
          <xdr:colOff>590550</xdr:colOff>
          <xdr:row>90</xdr:row>
          <xdr:rowOff>57150</xdr:rowOff>
        </xdr:to>
        <xdr:sp macro="" textlink="">
          <xdr:nvSpPr>
            <xdr:cNvPr id="57477" name="Group Box 133" hidden="1">
              <a:extLst>
                <a:ext uri="{63B3BB69-23CF-44E3-9099-C40C66FF867C}">
                  <a14:compatExt spid="_x0000_s57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23. Faço controles financeiros por meio de registros e utilizo esses dados para subsidiar as minhas decisões.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88</xdr:row>
          <xdr:rowOff>28575</xdr:rowOff>
        </xdr:from>
        <xdr:to>
          <xdr:col>5</xdr:col>
          <xdr:colOff>66675</xdr:colOff>
          <xdr:row>89</xdr:row>
          <xdr:rowOff>57150</xdr:rowOff>
        </xdr:to>
        <xdr:sp macro="" textlink="">
          <xdr:nvSpPr>
            <xdr:cNvPr id="57478" name="Option Button 134" hidden="1">
              <a:extLst>
                <a:ext uri="{63B3BB69-23CF-44E3-9099-C40C66FF867C}">
                  <a14:compatExt spid="_x0000_s57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88</xdr:row>
          <xdr:rowOff>28575</xdr:rowOff>
        </xdr:from>
        <xdr:to>
          <xdr:col>9</xdr:col>
          <xdr:colOff>0</xdr:colOff>
          <xdr:row>89</xdr:row>
          <xdr:rowOff>57150</xdr:rowOff>
        </xdr:to>
        <xdr:sp macro="" textlink="">
          <xdr:nvSpPr>
            <xdr:cNvPr id="57479" name="Option Button 135" hidden="1">
              <a:extLst>
                <a:ext uri="{63B3BB69-23CF-44E3-9099-C40C66FF867C}">
                  <a14:compatExt spid="_x0000_s57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88</xdr:row>
          <xdr:rowOff>28575</xdr:rowOff>
        </xdr:from>
        <xdr:to>
          <xdr:col>12</xdr:col>
          <xdr:colOff>542925</xdr:colOff>
          <xdr:row>89</xdr:row>
          <xdr:rowOff>57150</xdr:rowOff>
        </xdr:to>
        <xdr:sp macro="" textlink="">
          <xdr:nvSpPr>
            <xdr:cNvPr id="57480" name="Option Button 136" hidden="1">
              <a:extLst>
                <a:ext uri="{63B3BB69-23CF-44E3-9099-C40C66FF867C}">
                  <a14:compatExt spid="_x0000_s57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88</xdr:row>
          <xdr:rowOff>28575</xdr:rowOff>
        </xdr:from>
        <xdr:to>
          <xdr:col>16</xdr:col>
          <xdr:colOff>476250</xdr:colOff>
          <xdr:row>89</xdr:row>
          <xdr:rowOff>57150</xdr:rowOff>
        </xdr:to>
        <xdr:sp macro="" textlink="">
          <xdr:nvSpPr>
            <xdr:cNvPr id="57481" name="Option Button 137" hidden="1">
              <a:extLst>
                <a:ext uri="{63B3BB69-23CF-44E3-9099-C40C66FF867C}">
                  <a14:compatExt spid="_x0000_s57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88</xdr:row>
          <xdr:rowOff>28575</xdr:rowOff>
        </xdr:from>
        <xdr:to>
          <xdr:col>20</xdr:col>
          <xdr:colOff>409575</xdr:colOff>
          <xdr:row>89</xdr:row>
          <xdr:rowOff>57150</xdr:rowOff>
        </xdr:to>
        <xdr:sp macro="" textlink="">
          <xdr:nvSpPr>
            <xdr:cNvPr id="57482" name="Option Button 138" hidden="1">
              <a:extLst>
                <a:ext uri="{63B3BB69-23CF-44E3-9099-C40C66FF867C}">
                  <a14:compatExt spid="_x0000_s57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90</xdr:row>
          <xdr:rowOff>142875</xdr:rowOff>
        </xdr:from>
        <xdr:to>
          <xdr:col>20</xdr:col>
          <xdr:colOff>590550</xdr:colOff>
          <xdr:row>93</xdr:row>
          <xdr:rowOff>180975</xdr:rowOff>
        </xdr:to>
        <xdr:sp macro="" textlink="">
          <xdr:nvSpPr>
            <xdr:cNvPr id="57483" name="Group Box 139" hidden="1">
              <a:extLst>
                <a:ext uri="{63B3BB69-23CF-44E3-9099-C40C66FF867C}">
                  <a14:compatExt spid="_x0000_s57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24. Quando encontro dificuldades na execução de uma atividade, não me permito aguardar um tempo até que ela se resolva por si.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91</xdr:row>
          <xdr:rowOff>152400</xdr:rowOff>
        </xdr:from>
        <xdr:to>
          <xdr:col>5</xdr:col>
          <xdr:colOff>66675</xdr:colOff>
          <xdr:row>92</xdr:row>
          <xdr:rowOff>180975</xdr:rowOff>
        </xdr:to>
        <xdr:sp macro="" textlink="">
          <xdr:nvSpPr>
            <xdr:cNvPr id="57484" name="Option Button 140" hidden="1">
              <a:extLst>
                <a:ext uri="{63B3BB69-23CF-44E3-9099-C40C66FF867C}">
                  <a14:compatExt spid="_x0000_s57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91</xdr:row>
          <xdr:rowOff>152400</xdr:rowOff>
        </xdr:from>
        <xdr:to>
          <xdr:col>9</xdr:col>
          <xdr:colOff>0</xdr:colOff>
          <xdr:row>92</xdr:row>
          <xdr:rowOff>180975</xdr:rowOff>
        </xdr:to>
        <xdr:sp macro="" textlink="">
          <xdr:nvSpPr>
            <xdr:cNvPr id="57485" name="Option Button 141" hidden="1">
              <a:extLst>
                <a:ext uri="{63B3BB69-23CF-44E3-9099-C40C66FF867C}">
                  <a14:compatExt spid="_x0000_s57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91</xdr:row>
          <xdr:rowOff>152400</xdr:rowOff>
        </xdr:from>
        <xdr:to>
          <xdr:col>12</xdr:col>
          <xdr:colOff>542925</xdr:colOff>
          <xdr:row>92</xdr:row>
          <xdr:rowOff>180975</xdr:rowOff>
        </xdr:to>
        <xdr:sp macro="" textlink="">
          <xdr:nvSpPr>
            <xdr:cNvPr id="57486" name="Option Button 142" hidden="1">
              <a:extLst>
                <a:ext uri="{63B3BB69-23CF-44E3-9099-C40C66FF867C}">
                  <a14:compatExt spid="_x0000_s57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91</xdr:row>
          <xdr:rowOff>152400</xdr:rowOff>
        </xdr:from>
        <xdr:to>
          <xdr:col>16</xdr:col>
          <xdr:colOff>476250</xdr:colOff>
          <xdr:row>92</xdr:row>
          <xdr:rowOff>180975</xdr:rowOff>
        </xdr:to>
        <xdr:sp macro="" textlink="">
          <xdr:nvSpPr>
            <xdr:cNvPr id="57487" name="Option Button 143" hidden="1">
              <a:extLst>
                <a:ext uri="{63B3BB69-23CF-44E3-9099-C40C66FF867C}">
                  <a14:compatExt spid="_x0000_s57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91</xdr:row>
          <xdr:rowOff>152400</xdr:rowOff>
        </xdr:from>
        <xdr:to>
          <xdr:col>20</xdr:col>
          <xdr:colOff>409575</xdr:colOff>
          <xdr:row>92</xdr:row>
          <xdr:rowOff>180975</xdr:rowOff>
        </xdr:to>
        <xdr:sp macro="" textlink="">
          <xdr:nvSpPr>
            <xdr:cNvPr id="57488" name="Option Button 144" hidden="1">
              <a:extLst>
                <a:ext uri="{63B3BB69-23CF-44E3-9099-C40C66FF867C}">
                  <a14:compatExt spid="_x0000_s57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94</xdr:row>
          <xdr:rowOff>76200</xdr:rowOff>
        </xdr:from>
        <xdr:to>
          <xdr:col>20</xdr:col>
          <xdr:colOff>590550</xdr:colOff>
          <xdr:row>97</xdr:row>
          <xdr:rowOff>114300</xdr:rowOff>
        </xdr:to>
        <xdr:sp macro="" textlink="">
          <xdr:nvSpPr>
            <xdr:cNvPr id="57489" name="Group Box 145" hidden="1">
              <a:extLst>
                <a:ext uri="{63B3BB69-23CF-44E3-9099-C40C66FF867C}">
                  <a14:compatExt spid="_x0000_s57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25. Quando necessário, trabalho muito e com afinco, para completar uma tarefa ou alcançar um objetivo.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95</xdr:row>
          <xdr:rowOff>85725</xdr:rowOff>
        </xdr:from>
        <xdr:to>
          <xdr:col>5</xdr:col>
          <xdr:colOff>66675</xdr:colOff>
          <xdr:row>96</xdr:row>
          <xdr:rowOff>114300</xdr:rowOff>
        </xdr:to>
        <xdr:sp macro="" textlink="">
          <xdr:nvSpPr>
            <xdr:cNvPr id="57490" name="Option Button 146" hidden="1">
              <a:extLst>
                <a:ext uri="{63B3BB69-23CF-44E3-9099-C40C66FF867C}">
                  <a14:compatExt spid="_x0000_s57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95</xdr:row>
          <xdr:rowOff>85725</xdr:rowOff>
        </xdr:from>
        <xdr:to>
          <xdr:col>9</xdr:col>
          <xdr:colOff>0</xdr:colOff>
          <xdr:row>96</xdr:row>
          <xdr:rowOff>114300</xdr:rowOff>
        </xdr:to>
        <xdr:sp macro="" textlink="">
          <xdr:nvSpPr>
            <xdr:cNvPr id="57491" name="Option Button 147" hidden="1">
              <a:extLst>
                <a:ext uri="{63B3BB69-23CF-44E3-9099-C40C66FF867C}">
                  <a14:compatExt spid="_x0000_s57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95</xdr:row>
          <xdr:rowOff>85725</xdr:rowOff>
        </xdr:from>
        <xdr:to>
          <xdr:col>12</xdr:col>
          <xdr:colOff>542925</xdr:colOff>
          <xdr:row>96</xdr:row>
          <xdr:rowOff>114300</xdr:rowOff>
        </xdr:to>
        <xdr:sp macro="" textlink="">
          <xdr:nvSpPr>
            <xdr:cNvPr id="57492" name="Option Button 148" hidden="1">
              <a:extLst>
                <a:ext uri="{63B3BB69-23CF-44E3-9099-C40C66FF867C}">
                  <a14:compatExt spid="_x0000_s57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95</xdr:row>
          <xdr:rowOff>85725</xdr:rowOff>
        </xdr:from>
        <xdr:to>
          <xdr:col>16</xdr:col>
          <xdr:colOff>476250</xdr:colOff>
          <xdr:row>96</xdr:row>
          <xdr:rowOff>114300</xdr:rowOff>
        </xdr:to>
        <xdr:sp macro="" textlink="">
          <xdr:nvSpPr>
            <xdr:cNvPr id="57493" name="Option Button 149" hidden="1">
              <a:extLst>
                <a:ext uri="{63B3BB69-23CF-44E3-9099-C40C66FF867C}">
                  <a14:compatExt spid="_x0000_s57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95</xdr:row>
          <xdr:rowOff>85725</xdr:rowOff>
        </xdr:from>
        <xdr:to>
          <xdr:col>20</xdr:col>
          <xdr:colOff>409575</xdr:colOff>
          <xdr:row>96</xdr:row>
          <xdr:rowOff>114300</xdr:rowOff>
        </xdr:to>
        <xdr:sp macro="" textlink="">
          <xdr:nvSpPr>
            <xdr:cNvPr id="57494" name="Option Button 150" hidden="1">
              <a:extLst>
                <a:ext uri="{63B3BB69-23CF-44E3-9099-C40C66FF867C}">
                  <a14:compatExt spid="_x0000_s57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98</xdr:row>
          <xdr:rowOff>9525</xdr:rowOff>
        </xdr:from>
        <xdr:to>
          <xdr:col>20</xdr:col>
          <xdr:colOff>590550</xdr:colOff>
          <xdr:row>101</xdr:row>
          <xdr:rowOff>47625</xdr:rowOff>
        </xdr:to>
        <xdr:sp macro="" textlink="">
          <xdr:nvSpPr>
            <xdr:cNvPr id="57495" name="Group Box 151" hidden="1">
              <a:extLst>
                <a:ext uri="{63B3BB69-23CF-44E3-9099-C40C66FF867C}">
                  <a14:compatExt spid="_x0000_s57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26. Faço coisas que, na opinião dos outros, são arriscadas.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99</xdr:row>
          <xdr:rowOff>19050</xdr:rowOff>
        </xdr:from>
        <xdr:to>
          <xdr:col>5</xdr:col>
          <xdr:colOff>66675</xdr:colOff>
          <xdr:row>100</xdr:row>
          <xdr:rowOff>47625</xdr:rowOff>
        </xdr:to>
        <xdr:sp macro="" textlink="">
          <xdr:nvSpPr>
            <xdr:cNvPr id="57496" name="Option Button 152" hidden="1">
              <a:extLst>
                <a:ext uri="{63B3BB69-23CF-44E3-9099-C40C66FF867C}">
                  <a14:compatExt spid="_x0000_s57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99</xdr:row>
          <xdr:rowOff>19050</xdr:rowOff>
        </xdr:from>
        <xdr:to>
          <xdr:col>9</xdr:col>
          <xdr:colOff>0</xdr:colOff>
          <xdr:row>100</xdr:row>
          <xdr:rowOff>47625</xdr:rowOff>
        </xdr:to>
        <xdr:sp macro="" textlink="">
          <xdr:nvSpPr>
            <xdr:cNvPr id="57497" name="Option Button 153" hidden="1">
              <a:extLst>
                <a:ext uri="{63B3BB69-23CF-44E3-9099-C40C66FF867C}">
                  <a14:compatExt spid="_x0000_s57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99</xdr:row>
          <xdr:rowOff>19050</xdr:rowOff>
        </xdr:from>
        <xdr:to>
          <xdr:col>12</xdr:col>
          <xdr:colOff>542925</xdr:colOff>
          <xdr:row>100</xdr:row>
          <xdr:rowOff>47625</xdr:rowOff>
        </xdr:to>
        <xdr:sp macro="" textlink="">
          <xdr:nvSpPr>
            <xdr:cNvPr id="57498" name="Option Button 154" hidden="1">
              <a:extLst>
                <a:ext uri="{63B3BB69-23CF-44E3-9099-C40C66FF867C}">
                  <a14:compatExt spid="_x0000_s57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99</xdr:row>
          <xdr:rowOff>19050</xdr:rowOff>
        </xdr:from>
        <xdr:to>
          <xdr:col>16</xdr:col>
          <xdr:colOff>476250</xdr:colOff>
          <xdr:row>100</xdr:row>
          <xdr:rowOff>47625</xdr:rowOff>
        </xdr:to>
        <xdr:sp macro="" textlink="">
          <xdr:nvSpPr>
            <xdr:cNvPr id="57499" name="Option Button 155" hidden="1">
              <a:extLst>
                <a:ext uri="{63B3BB69-23CF-44E3-9099-C40C66FF867C}">
                  <a14:compatExt spid="_x0000_s57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99</xdr:row>
          <xdr:rowOff>19050</xdr:rowOff>
        </xdr:from>
        <xdr:to>
          <xdr:col>20</xdr:col>
          <xdr:colOff>409575</xdr:colOff>
          <xdr:row>100</xdr:row>
          <xdr:rowOff>47625</xdr:rowOff>
        </xdr:to>
        <xdr:sp macro="" textlink="">
          <xdr:nvSpPr>
            <xdr:cNvPr id="57500" name="Option Button 156" hidden="1">
              <a:extLst>
                <a:ext uri="{63B3BB69-23CF-44E3-9099-C40C66FF867C}">
                  <a14:compatExt spid="_x0000_s57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101</xdr:row>
          <xdr:rowOff>133350</xdr:rowOff>
        </xdr:from>
        <xdr:to>
          <xdr:col>20</xdr:col>
          <xdr:colOff>590550</xdr:colOff>
          <xdr:row>104</xdr:row>
          <xdr:rowOff>171450</xdr:rowOff>
        </xdr:to>
        <xdr:sp macro="" textlink="">
          <xdr:nvSpPr>
            <xdr:cNvPr id="57501" name="Group Box 157" hidden="1">
              <a:extLst>
                <a:ext uri="{63B3BB69-23CF-44E3-9099-C40C66FF867C}">
                  <a14:compatExt spid="_x0000_s57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27. Minhas ações diárias são fortemente influenciadas por meus objetivos de médio e longo prazos.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102</xdr:row>
          <xdr:rowOff>142875</xdr:rowOff>
        </xdr:from>
        <xdr:to>
          <xdr:col>5</xdr:col>
          <xdr:colOff>66675</xdr:colOff>
          <xdr:row>103</xdr:row>
          <xdr:rowOff>171450</xdr:rowOff>
        </xdr:to>
        <xdr:sp macro="" textlink="">
          <xdr:nvSpPr>
            <xdr:cNvPr id="57502" name="Option Button 158" hidden="1">
              <a:extLst>
                <a:ext uri="{63B3BB69-23CF-44E3-9099-C40C66FF867C}">
                  <a14:compatExt spid="_x0000_s57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102</xdr:row>
          <xdr:rowOff>142875</xdr:rowOff>
        </xdr:from>
        <xdr:to>
          <xdr:col>9</xdr:col>
          <xdr:colOff>0</xdr:colOff>
          <xdr:row>103</xdr:row>
          <xdr:rowOff>171450</xdr:rowOff>
        </xdr:to>
        <xdr:sp macro="" textlink="">
          <xdr:nvSpPr>
            <xdr:cNvPr id="57503" name="Option Button 159" hidden="1">
              <a:extLst>
                <a:ext uri="{63B3BB69-23CF-44E3-9099-C40C66FF867C}">
                  <a14:compatExt spid="_x0000_s57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102</xdr:row>
          <xdr:rowOff>142875</xdr:rowOff>
        </xdr:from>
        <xdr:to>
          <xdr:col>12</xdr:col>
          <xdr:colOff>542925</xdr:colOff>
          <xdr:row>103</xdr:row>
          <xdr:rowOff>171450</xdr:rowOff>
        </xdr:to>
        <xdr:sp macro="" textlink="">
          <xdr:nvSpPr>
            <xdr:cNvPr id="57504" name="Option Button 160" hidden="1">
              <a:extLst>
                <a:ext uri="{63B3BB69-23CF-44E3-9099-C40C66FF867C}">
                  <a14:compatExt spid="_x0000_s57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102</xdr:row>
          <xdr:rowOff>142875</xdr:rowOff>
        </xdr:from>
        <xdr:to>
          <xdr:col>16</xdr:col>
          <xdr:colOff>476250</xdr:colOff>
          <xdr:row>103</xdr:row>
          <xdr:rowOff>171450</xdr:rowOff>
        </xdr:to>
        <xdr:sp macro="" textlink="">
          <xdr:nvSpPr>
            <xdr:cNvPr id="57505" name="Option Button 161" hidden="1">
              <a:extLst>
                <a:ext uri="{63B3BB69-23CF-44E3-9099-C40C66FF867C}">
                  <a14:compatExt spid="_x0000_s57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102</xdr:row>
          <xdr:rowOff>142875</xdr:rowOff>
        </xdr:from>
        <xdr:to>
          <xdr:col>20</xdr:col>
          <xdr:colOff>409575</xdr:colOff>
          <xdr:row>103</xdr:row>
          <xdr:rowOff>171450</xdr:rowOff>
        </xdr:to>
        <xdr:sp macro="" textlink="">
          <xdr:nvSpPr>
            <xdr:cNvPr id="57506" name="Option Button 162" hidden="1">
              <a:extLst>
                <a:ext uri="{63B3BB69-23CF-44E3-9099-C40C66FF867C}">
                  <a14:compatExt spid="_x0000_s57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105</xdr:row>
          <xdr:rowOff>66675</xdr:rowOff>
        </xdr:from>
        <xdr:to>
          <xdr:col>20</xdr:col>
          <xdr:colOff>590550</xdr:colOff>
          <xdr:row>108</xdr:row>
          <xdr:rowOff>104775</xdr:rowOff>
        </xdr:to>
        <xdr:sp macro="" textlink="">
          <xdr:nvSpPr>
            <xdr:cNvPr id="57507" name="Group Box 163" hidden="1">
              <a:extLst>
                <a:ext uri="{63B3BB69-23CF-44E3-9099-C40C66FF867C}">
                  <a14:compatExt spid="_x0000_s57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28. Visito feiras e participo de eventos e cursos correlatos ao meu empreendimento para conhecer novos produtos, serviços e fornecedores.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106</xdr:row>
          <xdr:rowOff>76200</xdr:rowOff>
        </xdr:from>
        <xdr:to>
          <xdr:col>5</xdr:col>
          <xdr:colOff>66675</xdr:colOff>
          <xdr:row>107</xdr:row>
          <xdr:rowOff>104775</xdr:rowOff>
        </xdr:to>
        <xdr:sp macro="" textlink="">
          <xdr:nvSpPr>
            <xdr:cNvPr id="57508" name="Option Button 164" hidden="1">
              <a:extLst>
                <a:ext uri="{63B3BB69-23CF-44E3-9099-C40C66FF867C}">
                  <a14:compatExt spid="_x0000_s57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106</xdr:row>
          <xdr:rowOff>76200</xdr:rowOff>
        </xdr:from>
        <xdr:to>
          <xdr:col>9</xdr:col>
          <xdr:colOff>0</xdr:colOff>
          <xdr:row>107</xdr:row>
          <xdr:rowOff>104775</xdr:rowOff>
        </xdr:to>
        <xdr:sp macro="" textlink="">
          <xdr:nvSpPr>
            <xdr:cNvPr id="57509" name="Option Button 165" hidden="1">
              <a:extLst>
                <a:ext uri="{63B3BB69-23CF-44E3-9099-C40C66FF867C}">
                  <a14:compatExt spid="_x0000_s57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106</xdr:row>
          <xdr:rowOff>76200</xdr:rowOff>
        </xdr:from>
        <xdr:to>
          <xdr:col>12</xdr:col>
          <xdr:colOff>542925</xdr:colOff>
          <xdr:row>107</xdr:row>
          <xdr:rowOff>104775</xdr:rowOff>
        </xdr:to>
        <xdr:sp macro="" textlink="">
          <xdr:nvSpPr>
            <xdr:cNvPr id="57510" name="Option Button 166" hidden="1">
              <a:extLst>
                <a:ext uri="{63B3BB69-23CF-44E3-9099-C40C66FF867C}">
                  <a14:compatExt spid="_x0000_s57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106</xdr:row>
          <xdr:rowOff>76200</xdr:rowOff>
        </xdr:from>
        <xdr:to>
          <xdr:col>16</xdr:col>
          <xdr:colOff>476250</xdr:colOff>
          <xdr:row>107</xdr:row>
          <xdr:rowOff>104775</xdr:rowOff>
        </xdr:to>
        <xdr:sp macro="" textlink="">
          <xdr:nvSpPr>
            <xdr:cNvPr id="57511" name="Option Button 167" hidden="1">
              <a:extLst>
                <a:ext uri="{63B3BB69-23CF-44E3-9099-C40C66FF867C}">
                  <a14:compatExt spid="_x0000_s57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106</xdr:row>
          <xdr:rowOff>76200</xdr:rowOff>
        </xdr:from>
        <xdr:to>
          <xdr:col>20</xdr:col>
          <xdr:colOff>409575</xdr:colOff>
          <xdr:row>107</xdr:row>
          <xdr:rowOff>104775</xdr:rowOff>
        </xdr:to>
        <xdr:sp macro="" textlink="">
          <xdr:nvSpPr>
            <xdr:cNvPr id="57512" name="Option Button 168" hidden="1">
              <a:extLst>
                <a:ext uri="{63B3BB69-23CF-44E3-9099-C40C66FF867C}">
                  <a14:compatExt spid="_x0000_s57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109</xdr:row>
          <xdr:rowOff>0</xdr:rowOff>
        </xdr:from>
        <xdr:to>
          <xdr:col>20</xdr:col>
          <xdr:colOff>590550</xdr:colOff>
          <xdr:row>112</xdr:row>
          <xdr:rowOff>38100</xdr:rowOff>
        </xdr:to>
        <xdr:sp macro="" textlink="">
          <xdr:nvSpPr>
            <xdr:cNvPr id="57513" name="Group Box 169" hidden="1">
              <a:extLst>
                <a:ext uri="{63B3BB69-23CF-44E3-9099-C40C66FF867C}">
                  <a14:compatExt spid="_x0000_s57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29. Encontro oportunidades de novos negócios quando identifico necessidades ou diagnostico problemas reais.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110</xdr:row>
          <xdr:rowOff>9525</xdr:rowOff>
        </xdr:from>
        <xdr:to>
          <xdr:col>5</xdr:col>
          <xdr:colOff>66675</xdr:colOff>
          <xdr:row>111</xdr:row>
          <xdr:rowOff>38100</xdr:rowOff>
        </xdr:to>
        <xdr:sp macro="" textlink="">
          <xdr:nvSpPr>
            <xdr:cNvPr id="57514" name="Option Button 170" hidden="1">
              <a:extLst>
                <a:ext uri="{63B3BB69-23CF-44E3-9099-C40C66FF867C}">
                  <a14:compatExt spid="_x0000_s57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110</xdr:row>
          <xdr:rowOff>9525</xdr:rowOff>
        </xdr:from>
        <xdr:to>
          <xdr:col>9</xdr:col>
          <xdr:colOff>0</xdr:colOff>
          <xdr:row>111</xdr:row>
          <xdr:rowOff>38100</xdr:rowOff>
        </xdr:to>
        <xdr:sp macro="" textlink="">
          <xdr:nvSpPr>
            <xdr:cNvPr id="57515" name="Option Button 171" hidden="1">
              <a:extLst>
                <a:ext uri="{63B3BB69-23CF-44E3-9099-C40C66FF867C}">
                  <a14:compatExt spid="_x0000_s57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110</xdr:row>
          <xdr:rowOff>9525</xdr:rowOff>
        </xdr:from>
        <xdr:to>
          <xdr:col>12</xdr:col>
          <xdr:colOff>542925</xdr:colOff>
          <xdr:row>111</xdr:row>
          <xdr:rowOff>38100</xdr:rowOff>
        </xdr:to>
        <xdr:sp macro="" textlink="">
          <xdr:nvSpPr>
            <xdr:cNvPr id="57516" name="Option Button 172" hidden="1">
              <a:extLst>
                <a:ext uri="{63B3BB69-23CF-44E3-9099-C40C66FF867C}">
                  <a14:compatExt spid="_x0000_s57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110</xdr:row>
          <xdr:rowOff>9525</xdr:rowOff>
        </xdr:from>
        <xdr:to>
          <xdr:col>16</xdr:col>
          <xdr:colOff>476250</xdr:colOff>
          <xdr:row>111</xdr:row>
          <xdr:rowOff>38100</xdr:rowOff>
        </xdr:to>
        <xdr:sp macro="" textlink="">
          <xdr:nvSpPr>
            <xdr:cNvPr id="57517" name="Option Button 173" hidden="1">
              <a:extLst>
                <a:ext uri="{63B3BB69-23CF-44E3-9099-C40C66FF867C}">
                  <a14:compatExt spid="_x0000_s57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110</xdr:row>
          <xdr:rowOff>9525</xdr:rowOff>
        </xdr:from>
        <xdr:to>
          <xdr:col>20</xdr:col>
          <xdr:colOff>409575</xdr:colOff>
          <xdr:row>111</xdr:row>
          <xdr:rowOff>38100</xdr:rowOff>
        </xdr:to>
        <xdr:sp macro="" textlink="">
          <xdr:nvSpPr>
            <xdr:cNvPr id="57518" name="Option Button 174" hidden="1">
              <a:extLst>
                <a:ext uri="{63B3BB69-23CF-44E3-9099-C40C66FF867C}">
                  <a14:compatExt spid="_x0000_s57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112</xdr:row>
          <xdr:rowOff>123825</xdr:rowOff>
        </xdr:from>
        <xdr:to>
          <xdr:col>20</xdr:col>
          <xdr:colOff>590550</xdr:colOff>
          <xdr:row>115</xdr:row>
          <xdr:rowOff>161925</xdr:rowOff>
        </xdr:to>
        <xdr:sp macro="" textlink="">
          <xdr:nvSpPr>
            <xdr:cNvPr id="57519" name="Group Box 175" hidden="1">
              <a:extLst>
                <a:ext uri="{63B3BB69-23CF-44E3-9099-C40C66FF867C}">
                  <a14:compatExt spid="_x0000_s57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30. Realizaria vendas para clientes, ainda que não tenha lucro imediato e respeitando preço mínimo, tendo em vista, futuras possibilidades de outros negócios com eles.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113</xdr:row>
          <xdr:rowOff>133350</xdr:rowOff>
        </xdr:from>
        <xdr:to>
          <xdr:col>5</xdr:col>
          <xdr:colOff>66675</xdr:colOff>
          <xdr:row>114</xdr:row>
          <xdr:rowOff>161925</xdr:rowOff>
        </xdr:to>
        <xdr:sp macro="" textlink="">
          <xdr:nvSpPr>
            <xdr:cNvPr id="57520" name="Option Button 176" hidden="1">
              <a:extLst>
                <a:ext uri="{63B3BB69-23CF-44E3-9099-C40C66FF867C}">
                  <a14:compatExt spid="_x0000_s57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 totalmente. Isso não acontece.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113</xdr:row>
          <xdr:rowOff>133350</xdr:rowOff>
        </xdr:from>
        <xdr:to>
          <xdr:col>9</xdr:col>
          <xdr:colOff>0</xdr:colOff>
          <xdr:row>114</xdr:row>
          <xdr:rowOff>161925</xdr:rowOff>
        </xdr:to>
        <xdr:sp macro="" textlink="">
          <xdr:nvSpPr>
            <xdr:cNvPr id="57521" name="Option Button 177" hidden="1">
              <a:extLst>
                <a:ext uri="{63B3BB69-23CF-44E3-9099-C40C66FF867C}">
                  <a14:compatExt spid="_x0000_s57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Discordo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113</xdr:row>
          <xdr:rowOff>133350</xdr:rowOff>
        </xdr:from>
        <xdr:to>
          <xdr:col>12</xdr:col>
          <xdr:colOff>542925</xdr:colOff>
          <xdr:row>114</xdr:row>
          <xdr:rowOff>161925</xdr:rowOff>
        </xdr:to>
        <xdr:sp macro="" textlink="">
          <xdr:nvSpPr>
            <xdr:cNvPr id="57522" name="Option Button 178" hidden="1">
              <a:extLst>
                <a:ext uri="{63B3BB69-23CF-44E3-9099-C40C66FF867C}">
                  <a14:compatExt spid="_x0000_s57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discordo, porém, não 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113</xdr:row>
          <xdr:rowOff>133350</xdr:rowOff>
        </xdr:from>
        <xdr:to>
          <xdr:col>16</xdr:col>
          <xdr:colOff>476250</xdr:colOff>
          <xdr:row>114</xdr:row>
          <xdr:rowOff>161925</xdr:rowOff>
        </xdr:to>
        <xdr:sp macro="" textlink="">
          <xdr:nvSpPr>
            <xdr:cNvPr id="57523" name="Option Button 179" hidden="1">
              <a:extLst>
                <a:ext uri="{63B3BB69-23CF-44E3-9099-C40C66FF867C}">
                  <a14:compatExt spid="_x0000_s57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113</xdr:row>
          <xdr:rowOff>133350</xdr:rowOff>
        </xdr:from>
        <xdr:to>
          <xdr:col>20</xdr:col>
          <xdr:colOff>409575</xdr:colOff>
          <xdr:row>114</xdr:row>
          <xdr:rowOff>161925</xdr:rowOff>
        </xdr:to>
        <xdr:sp macro="" textlink="">
          <xdr:nvSpPr>
            <xdr:cNvPr id="57524" name="Option Button 180" hidden="1">
              <a:extLst>
                <a:ext uri="{63B3BB69-23CF-44E3-9099-C40C66FF867C}">
                  <a14:compatExt spid="_x0000_s57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Concordo totalmente. Sempre acontece.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260638" y="247773"/>
    <xdr:ext cx="22443497" cy="1123418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34</xdr:col>
      <xdr:colOff>69272</xdr:colOff>
      <xdr:row>1</xdr:row>
      <xdr:rowOff>153266</xdr:rowOff>
    </xdr:from>
    <xdr:to>
      <xdr:col>37</xdr:col>
      <xdr:colOff>174913</xdr:colOff>
      <xdr:row>6</xdr:row>
      <xdr:rowOff>86592</xdr:rowOff>
    </xdr:to>
    <xdr:sp macro="[0]!irparamenu" textlink="">
      <xdr:nvSpPr>
        <xdr:cNvPr id="3" name="CaixaDeTexto 2"/>
        <xdr:cNvSpPr txBox="1"/>
      </xdr:nvSpPr>
      <xdr:spPr>
        <a:xfrm>
          <a:off x="20677908" y="343766"/>
          <a:ext cx="1924050" cy="88582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0</xdr:col>
      <xdr:colOff>374252</xdr:colOff>
      <xdr:row>1</xdr:row>
      <xdr:rowOff>164523</xdr:rowOff>
    </xdr:from>
    <xdr:to>
      <xdr:col>6</xdr:col>
      <xdr:colOff>447200</xdr:colOff>
      <xdr:row>6</xdr:row>
      <xdr:rowOff>51955</xdr:rowOff>
    </xdr:to>
    <xdr:pic>
      <xdr:nvPicPr>
        <xdr:cNvPr id="4" name="Imagem 3" descr="logomarca-proin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74252" y="355023"/>
          <a:ext cx="3709766" cy="83993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409575</xdr:colOff>
      <xdr:row>114</xdr:row>
      <xdr:rowOff>76200</xdr:rowOff>
    </xdr:from>
    <xdr:to>
      <xdr:col>21</xdr:col>
      <xdr:colOff>828</xdr:colOff>
      <xdr:row>117</xdr:row>
      <xdr:rowOff>83655</xdr:rowOff>
    </xdr:to>
    <xdr:sp macro="[0]!irparamenu" textlink="">
      <xdr:nvSpPr>
        <xdr:cNvPr id="4" name="CaixaDeTexto 3"/>
        <xdr:cNvSpPr txBox="1"/>
      </xdr:nvSpPr>
      <xdr:spPr>
        <a:xfrm>
          <a:off x="10277475" y="22955250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181705</xdr:colOff>
      <xdr:row>1</xdr:row>
      <xdr:rowOff>203940</xdr:rowOff>
    </xdr:to>
    <xdr:pic>
      <xdr:nvPicPr>
        <xdr:cNvPr id="5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1925" y="47625"/>
          <a:ext cx="1962880" cy="442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180975</xdr:rowOff>
        </xdr:from>
        <xdr:to>
          <xdr:col>20</xdr:col>
          <xdr:colOff>590550</xdr:colOff>
          <xdr:row>14</xdr:row>
          <xdr:rowOff>104775</xdr:rowOff>
        </xdr:to>
        <xdr:sp macro="" textlink="">
          <xdr:nvSpPr>
            <xdr:cNvPr id="33793" name="Group Box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1. Os empreendedores investem no seu desenvolvimento e dos membros da equipe (se aplicável). Além disso, aplicam os conhecimentos adquiridos no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</xdr:row>
          <xdr:rowOff>0</xdr:rowOff>
        </xdr:from>
        <xdr:to>
          <xdr:col>20</xdr:col>
          <xdr:colOff>419100</xdr:colOff>
          <xdr:row>9</xdr:row>
          <xdr:rowOff>28575</xdr:rowOff>
        </xdr:to>
        <xdr:sp macro="" textlink="">
          <xdr:nvSpPr>
            <xdr:cNvPr id="33794" name="Option 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empreendedores não investem em seu desenvolvimento.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</xdr:row>
          <xdr:rowOff>123825</xdr:rowOff>
        </xdr:from>
        <xdr:to>
          <xdr:col>20</xdr:col>
          <xdr:colOff>419100</xdr:colOff>
          <xdr:row>10</xdr:row>
          <xdr:rowOff>152400</xdr:rowOff>
        </xdr:to>
        <xdr:sp macro="" textlink="">
          <xdr:nvSpPr>
            <xdr:cNvPr id="33795" name="Option Button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empreendedores investem esporadicamente em seu desenvolvimento gerencial, mas não aplicam os conhecimentos adquiridos no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</xdr:row>
          <xdr:rowOff>57150</xdr:rowOff>
        </xdr:from>
        <xdr:to>
          <xdr:col>20</xdr:col>
          <xdr:colOff>419100</xdr:colOff>
          <xdr:row>12</xdr:row>
          <xdr:rowOff>85725</xdr:rowOff>
        </xdr:to>
        <xdr:sp macro="" textlink="">
          <xdr:nvSpPr>
            <xdr:cNvPr id="33796" name="Option Button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empreendedores investem esporadicamente em seu desenvolvimento gerencial, e aplicam os conhecimentos adquiridos no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12</xdr:row>
          <xdr:rowOff>180975</xdr:rowOff>
        </xdr:from>
        <xdr:to>
          <xdr:col>20</xdr:col>
          <xdr:colOff>419100</xdr:colOff>
          <xdr:row>14</xdr:row>
          <xdr:rowOff>19050</xdr:rowOff>
        </xdr:to>
        <xdr:sp macro="" textlink="">
          <xdr:nvSpPr>
            <xdr:cNvPr id="33797" name="Option Button 5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empreendedores investem regularmente em seu desenvolvimento gerencial, e aplicam os conhecimentos adquiridos no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19</xdr:row>
          <xdr:rowOff>123825</xdr:rowOff>
        </xdr:from>
        <xdr:to>
          <xdr:col>20</xdr:col>
          <xdr:colOff>419100</xdr:colOff>
          <xdr:row>20</xdr:row>
          <xdr:rowOff>152400</xdr:rowOff>
        </xdr:to>
        <xdr:sp macro="" textlink="">
          <xdr:nvSpPr>
            <xdr:cNvPr id="33839" name="Option Button 47" hidden="1">
              <a:extLst>
                <a:ext uri="{63B3BB69-23CF-44E3-9099-C40C66FF867C}">
                  <a14:compatExt spid="_x0000_s33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empreendedores não possuem formação prática em empreendedorismo.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21</xdr:row>
          <xdr:rowOff>57150</xdr:rowOff>
        </xdr:from>
        <xdr:to>
          <xdr:col>20</xdr:col>
          <xdr:colOff>419100</xdr:colOff>
          <xdr:row>22</xdr:row>
          <xdr:rowOff>85725</xdr:rowOff>
        </xdr:to>
        <xdr:sp macro="" textlink="">
          <xdr:nvSpPr>
            <xdr:cNvPr id="33840" name="Option Button 48" hidden="1">
              <a:extLst>
                <a:ext uri="{63B3BB69-23CF-44E3-9099-C40C66FF867C}">
                  <a14:compatExt spid="_x0000_s33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empreendedores possuem formação em empreendedorismo, porém, não é prática.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22</xdr:row>
          <xdr:rowOff>180975</xdr:rowOff>
        </xdr:from>
        <xdr:to>
          <xdr:col>20</xdr:col>
          <xdr:colOff>419100</xdr:colOff>
          <xdr:row>24</xdr:row>
          <xdr:rowOff>19050</xdr:rowOff>
        </xdr:to>
        <xdr:sp macro="" textlink="">
          <xdr:nvSpPr>
            <xdr:cNvPr id="33841" name="Option Button 49" hidden="1">
              <a:extLst>
                <a:ext uri="{63B3BB69-23CF-44E3-9099-C40C66FF867C}">
                  <a14:compatExt spid="_x0000_s33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empreendedores possuem formação prática em empreendedorismo, porém, não aplicam o conhecimento adquirido no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24</xdr:row>
          <xdr:rowOff>114300</xdr:rowOff>
        </xdr:from>
        <xdr:to>
          <xdr:col>20</xdr:col>
          <xdr:colOff>419100</xdr:colOff>
          <xdr:row>25</xdr:row>
          <xdr:rowOff>142875</xdr:rowOff>
        </xdr:to>
        <xdr:sp macro="" textlink="">
          <xdr:nvSpPr>
            <xdr:cNvPr id="33842" name="Option Button 50" hidden="1">
              <a:extLst>
                <a:ext uri="{63B3BB69-23CF-44E3-9099-C40C66FF867C}">
                  <a14:compatExt spid="_x0000_s33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empreendedores possuem formação prática em empreendedorismo e aplicam o conhecimento adquirido no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123825</xdr:rowOff>
        </xdr:from>
        <xdr:to>
          <xdr:col>20</xdr:col>
          <xdr:colOff>590550</xdr:colOff>
          <xdr:row>38</xdr:row>
          <xdr:rowOff>133350</xdr:rowOff>
        </xdr:to>
        <xdr:sp macro="" textlink="">
          <xdr:nvSpPr>
            <xdr:cNvPr id="33843" name="Group Box 51" hidden="1">
              <a:extLst>
                <a:ext uri="{63B3BB69-23CF-44E3-9099-C40C66FF867C}">
                  <a14:compatExt spid="_x0000_s33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3. Os empreendedores praticam ações para desenvolvimento de suas caracteristicas empreendedoras.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31</xdr:row>
          <xdr:rowOff>123825</xdr:rowOff>
        </xdr:from>
        <xdr:to>
          <xdr:col>20</xdr:col>
          <xdr:colOff>419100</xdr:colOff>
          <xdr:row>32</xdr:row>
          <xdr:rowOff>152400</xdr:rowOff>
        </xdr:to>
        <xdr:sp macro="" textlink="">
          <xdr:nvSpPr>
            <xdr:cNvPr id="33844" name="Option Button 52" hidden="1">
              <a:extLst>
                <a:ext uri="{63B3BB69-23CF-44E3-9099-C40C66FF867C}">
                  <a14:compatExt spid="_x0000_s33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caracteristicas empreendedoras não são conhecidas.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33</xdr:row>
          <xdr:rowOff>57150</xdr:rowOff>
        </xdr:from>
        <xdr:to>
          <xdr:col>20</xdr:col>
          <xdr:colOff>419100</xdr:colOff>
          <xdr:row>34</xdr:row>
          <xdr:rowOff>85725</xdr:rowOff>
        </xdr:to>
        <xdr:sp macro="" textlink="">
          <xdr:nvSpPr>
            <xdr:cNvPr id="33845" name="Option Button 53" hidden="1">
              <a:extLst>
                <a:ext uri="{63B3BB69-23CF-44E3-9099-C40C66FF867C}">
                  <a14:compatExt spid="_x0000_s33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caracteristicas empreendedoras são conhecidas, porém não são reazadas ações para seu desenvolvimento.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34</xdr:row>
          <xdr:rowOff>180975</xdr:rowOff>
        </xdr:from>
        <xdr:to>
          <xdr:col>20</xdr:col>
          <xdr:colOff>419100</xdr:colOff>
          <xdr:row>36</xdr:row>
          <xdr:rowOff>19050</xdr:rowOff>
        </xdr:to>
        <xdr:sp macro="" textlink="">
          <xdr:nvSpPr>
            <xdr:cNvPr id="33846" name="Option Button 54" hidden="1">
              <a:extLst>
                <a:ext uri="{63B3BB69-23CF-44E3-9099-C40C66FF867C}">
                  <a14:compatExt spid="_x0000_s33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caracteristicas empreendedoras são conhecidas e avaliadas e existem ações exporáticas para seu desenvolvimento.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36</xdr:row>
          <xdr:rowOff>114300</xdr:rowOff>
        </xdr:from>
        <xdr:to>
          <xdr:col>20</xdr:col>
          <xdr:colOff>419100</xdr:colOff>
          <xdr:row>37</xdr:row>
          <xdr:rowOff>142875</xdr:rowOff>
        </xdr:to>
        <xdr:sp macro="" textlink="">
          <xdr:nvSpPr>
            <xdr:cNvPr id="33847" name="Option Button 55" hidden="1">
              <a:extLst>
                <a:ext uri="{63B3BB69-23CF-44E3-9099-C40C66FF867C}">
                  <a14:compatExt spid="_x0000_s33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caracteristicas empreendedoras estão sistematicamente sendo avaliadas e com ações de desenvolvimento.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95250</xdr:rowOff>
        </xdr:from>
        <xdr:to>
          <xdr:col>20</xdr:col>
          <xdr:colOff>590550</xdr:colOff>
          <xdr:row>50</xdr:row>
          <xdr:rowOff>104775</xdr:rowOff>
        </xdr:to>
        <xdr:sp macro="" textlink="">
          <xdr:nvSpPr>
            <xdr:cNvPr id="33853" name="Group Box 61" hidden="1">
              <a:extLst>
                <a:ext uri="{63B3BB69-23CF-44E3-9099-C40C66FF867C}">
                  <a14:compatExt spid="_x0000_s33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4. As funções e as responsabilidades dos empreendedores estão definidas.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43</xdr:row>
          <xdr:rowOff>104775</xdr:rowOff>
        </xdr:from>
        <xdr:to>
          <xdr:col>20</xdr:col>
          <xdr:colOff>419100</xdr:colOff>
          <xdr:row>44</xdr:row>
          <xdr:rowOff>133350</xdr:rowOff>
        </xdr:to>
        <xdr:sp macro="" textlink="">
          <xdr:nvSpPr>
            <xdr:cNvPr id="33854" name="Option Button 62" hidden="1">
              <a:extLst>
                <a:ext uri="{63B3BB69-23CF-44E3-9099-C40C66FF867C}">
                  <a14:compatExt spid="_x0000_s33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funções e as responsabilidades não estão definidas.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45</xdr:row>
          <xdr:rowOff>38100</xdr:rowOff>
        </xdr:from>
        <xdr:to>
          <xdr:col>20</xdr:col>
          <xdr:colOff>419100</xdr:colOff>
          <xdr:row>46</xdr:row>
          <xdr:rowOff>66675</xdr:rowOff>
        </xdr:to>
        <xdr:sp macro="" textlink="">
          <xdr:nvSpPr>
            <xdr:cNvPr id="33855" name="Option Button 63" hidden="1">
              <a:extLst>
                <a:ext uri="{63B3BB69-23CF-44E3-9099-C40C66FF867C}">
                  <a14:compatExt spid="_x0000_s33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funções e as responsabilidades estão definidas informalmente.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46</xdr:row>
          <xdr:rowOff>161925</xdr:rowOff>
        </xdr:from>
        <xdr:to>
          <xdr:col>20</xdr:col>
          <xdr:colOff>419100</xdr:colOff>
          <xdr:row>48</xdr:row>
          <xdr:rowOff>0</xdr:rowOff>
        </xdr:to>
        <xdr:sp macro="" textlink="">
          <xdr:nvSpPr>
            <xdr:cNvPr id="33856" name="Option Button 64" hidden="1">
              <a:extLst>
                <a:ext uri="{63B3BB69-23CF-44E3-9099-C40C66FF867C}">
                  <a14:compatExt spid="_x0000_s33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Boa parte das funções e das responsabilidades estão definidas e documentadas formalmente.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48</xdr:row>
          <xdr:rowOff>95250</xdr:rowOff>
        </xdr:from>
        <xdr:to>
          <xdr:col>20</xdr:col>
          <xdr:colOff>419100</xdr:colOff>
          <xdr:row>49</xdr:row>
          <xdr:rowOff>123825</xdr:rowOff>
        </xdr:to>
        <xdr:sp macro="" textlink="">
          <xdr:nvSpPr>
            <xdr:cNvPr id="33857" name="Option Button 65" hidden="1">
              <a:extLst>
                <a:ext uri="{63B3BB69-23CF-44E3-9099-C40C66FF867C}">
                  <a14:compatExt spid="_x0000_s33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Funções e responsabilidades estão definidas e documentadas formalmente.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95250</xdr:rowOff>
        </xdr:from>
        <xdr:to>
          <xdr:col>20</xdr:col>
          <xdr:colOff>590550</xdr:colOff>
          <xdr:row>62</xdr:row>
          <xdr:rowOff>104775</xdr:rowOff>
        </xdr:to>
        <xdr:sp macro="" textlink="">
          <xdr:nvSpPr>
            <xdr:cNvPr id="33858" name="Group Box 66" hidden="1">
              <a:extLst>
                <a:ext uri="{63B3BB69-23CF-44E3-9099-C40C66FF867C}">
                  <a14:compatExt spid="_x0000_s33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5. Qualidade das decisões dos empreendedores.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55</xdr:row>
          <xdr:rowOff>104775</xdr:rowOff>
        </xdr:from>
        <xdr:to>
          <xdr:col>20</xdr:col>
          <xdr:colOff>419100</xdr:colOff>
          <xdr:row>56</xdr:row>
          <xdr:rowOff>133350</xdr:rowOff>
        </xdr:to>
        <xdr:sp macro="" textlink="">
          <xdr:nvSpPr>
            <xdr:cNvPr id="33859" name="Option Button 67" hidden="1">
              <a:extLst>
                <a:ext uri="{63B3BB69-23CF-44E3-9099-C40C66FF867C}">
                  <a14:compatExt spid="_x0000_s33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reuniões esporádicas entre os empreendedores para tomada de decisões operacionais, são fundamentalmente orientadas ao curto prazo, não permitindo reflexões de médio e longo prazos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57</xdr:row>
          <xdr:rowOff>38100</xdr:rowOff>
        </xdr:from>
        <xdr:to>
          <xdr:col>20</xdr:col>
          <xdr:colOff>419100</xdr:colOff>
          <xdr:row>58</xdr:row>
          <xdr:rowOff>66675</xdr:rowOff>
        </xdr:to>
        <xdr:sp macro="" textlink="">
          <xdr:nvSpPr>
            <xdr:cNvPr id="33860" name="Option Button 68" hidden="1">
              <a:extLst>
                <a:ext uri="{63B3BB69-23CF-44E3-9099-C40C66FF867C}">
                  <a14:compatExt spid="_x0000_s33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reuniões entre os empreendedores não seguem um calendário regular e, apesar de alguma avaliação dos resultados do negócio, apresentam instabilidade entre o olhar de longo prazo e o foco nas decisões de curto prazo.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58</xdr:row>
          <xdr:rowOff>161925</xdr:rowOff>
        </xdr:from>
        <xdr:to>
          <xdr:col>20</xdr:col>
          <xdr:colOff>419100</xdr:colOff>
          <xdr:row>60</xdr:row>
          <xdr:rowOff>0</xdr:rowOff>
        </xdr:to>
        <xdr:sp macro="" textlink="">
          <xdr:nvSpPr>
            <xdr:cNvPr id="33861" name="Option Button 69" hidden="1">
              <a:extLst>
                <a:ext uri="{63B3BB69-23CF-44E3-9099-C40C66FF867C}">
                  <a14:compatExt spid="_x0000_s33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reuniões regulares entre os empreendedores, para tomada de decisões de longo prazo são feitas a partir de um processo de decisão estruturado, que assegura a análise das principais alternativas para o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60</xdr:row>
          <xdr:rowOff>95250</xdr:rowOff>
        </xdr:from>
        <xdr:to>
          <xdr:col>20</xdr:col>
          <xdr:colOff>419100</xdr:colOff>
          <xdr:row>61</xdr:row>
          <xdr:rowOff>123825</xdr:rowOff>
        </xdr:to>
        <xdr:sp macro="" textlink="">
          <xdr:nvSpPr>
            <xdr:cNvPr id="33862" name="Option Button 70" hidden="1">
              <a:extLst>
                <a:ext uri="{63B3BB69-23CF-44E3-9099-C40C66FF867C}">
                  <a14:compatExt spid="_x0000_s33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reuniões sistemáticas entre os empreendedores está no longo prazo, e as decisões tomadas a partir da análise aprofundada dos problemas de negócios, trazem imediato reflexo nas diretrizes de médio e longo prazos.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104775</xdr:rowOff>
        </xdr:from>
        <xdr:to>
          <xdr:col>20</xdr:col>
          <xdr:colOff>590550</xdr:colOff>
          <xdr:row>74</xdr:row>
          <xdr:rowOff>114300</xdr:rowOff>
        </xdr:to>
        <xdr:sp macro="" textlink="">
          <xdr:nvSpPr>
            <xdr:cNvPr id="33863" name="Group Box 71" hidden="1">
              <a:extLst>
                <a:ext uri="{63B3BB69-23CF-44E3-9099-C40C66FF867C}">
                  <a14:compatExt spid="_x0000_s33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6. Decisões estratégicas e decisões de rotina.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67</xdr:row>
          <xdr:rowOff>114300</xdr:rowOff>
        </xdr:from>
        <xdr:to>
          <xdr:col>20</xdr:col>
          <xdr:colOff>419100</xdr:colOff>
          <xdr:row>68</xdr:row>
          <xdr:rowOff>142875</xdr:rowOff>
        </xdr:to>
        <xdr:sp macro="" textlink="">
          <xdr:nvSpPr>
            <xdr:cNvPr id="33864" name="Option Button 72" hidden="1">
              <a:extLst>
                <a:ext uri="{63B3BB69-23CF-44E3-9099-C40C66FF867C}">
                  <a14:compatExt spid="_x0000_s33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Quase a totalidade das decisões tomadas pelos empreendedores são com foco na rotina.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69</xdr:row>
          <xdr:rowOff>47625</xdr:rowOff>
        </xdr:from>
        <xdr:to>
          <xdr:col>20</xdr:col>
          <xdr:colOff>419100</xdr:colOff>
          <xdr:row>70</xdr:row>
          <xdr:rowOff>76200</xdr:rowOff>
        </xdr:to>
        <xdr:sp macro="" textlink="">
          <xdr:nvSpPr>
            <xdr:cNvPr id="33865" name="Option Button 73" hidden="1">
              <a:extLst>
                <a:ext uri="{63B3BB69-23CF-44E3-9099-C40C66FF867C}">
                  <a14:compatExt spid="_x0000_s33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Grande parte das decisões tomadas pelos empreendedores são com foco na rotina e operacionais, e algumas poucas, estratégicas.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70</xdr:row>
          <xdr:rowOff>171450</xdr:rowOff>
        </xdr:from>
        <xdr:to>
          <xdr:col>20</xdr:col>
          <xdr:colOff>419100</xdr:colOff>
          <xdr:row>72</xdr:row>
          <xdr:rowOff>9525</xdr:rowOff>
        </xdr:to>
        <xdr:sp macro="" textlink="">
          <xdr:nvSpPr>
            <xdr:cNvPr id="33866" name="Option Button 74" hidden="1">
              <a:extLst>
                <a:ext uri="{63B3BB69-23CF-44E3-9099-C40C66FF867C}">
                  <a14:compatExt spid="_x0000_s33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Equilibrio nas decisões dos empreendedores entre as de rotina e as estratégicas, sendo que as estratégicas, realmente focam no longo prazo.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72</xdr:row>
          <xdr:rowOff>104775</xdr:rowOff>
        </xdr:from>
        <xdr:to>
          <xdr:col>20</xdr:col>
          <xdr:colOff>419100</xdr:colOff>
          <xdr:row>73</xdr:row>
          <xdr:rowOff>133350</xdr:rowOff>
        </xdr:to>
        <xdr:sp macro="" textlink="">
          <xdr:nvSpPr>
            <xdr:cNvPr id="33867" name="Option Button 75" hidden="1">
              <a:extLst>
                <a:ext uri="{63B3BB69-23CF-44E3-9099-C40C66FF867C}">
                  <a14:compatExt spid="_x0000_s33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Quase a totalidade das decisões tomadas pelos empreendedores são estratégicas com foco no longo prazo.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78</xdr:row>
          <xdr:rowOff>114300</xdr:rowOff>
        </xdr:from>
        <xdr:to>
          <xdr:col>20</xdr:col>
          <xdr:colOff>590550</xdr:colOff>
          <xdr:row>86</xdr:row>
          <xdr:rowOff>123825</xdr:rowOff>
        </xdr:to>
        <xdr:sp macro="" textlink="">
          <xdr:nvSpPr>
            <xdr:cNvPr id="33868" name="Group Box 76" hidden="1">
              <a:extLst>
                <a:ext uri="{63B3BB69-23CF-44E3-9099-C40C66FF867C}">
                  <a14:compatExt spid="_x0000_s33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7. Decisões assertivas e no momento oportuno.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79</xdr:row>
          <xdr:rowOff>123825</xdr:rowOff>
        </xdr:from>
        <xdr:to>
          <xdr:col>20</xdr:col>
          <xdr:colOff>419100</xdr:colOff>
          <xdr:row>80</xdr:row>
          <xdr:rowOff>152400</xdr:rowOff>
        </xdr:to>
        <xdr:sp macro="" textlink="">
          <xdr:nvSpPr>
            <xdr:cNvPr id="33869" name="Option Button 77" hidden="1">
              <a:extLst>
                <a:ext uri="{63B3BB69-23CF-44E3-9099-C40C66FF867C}">
                  <a14:compatExt spid="_x0000_s33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Quase a totalidade das decisões tomadas pelos empreendedores não são assertivas, nem no momento oportuno.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81</xdr:row>
          <xdr:rowOff>57150</xdr:rowOff>
        </xdr:from>
        <xdr:to>
          <xdr:col>20</xdr:col>
          <xdr:colOff>419100</xdr:colOff>
          <xdr:row>82</xdr:row>
          <xdr:rowOff>85725</xdr:rowOff>
        </xdr:to>
        <xdr:sp macro="" textlink="">
          <xdr:nvSpPr>
            <xdr:cNvPr id="33870" name="Option Button 78" hidden="1">
              <a:extLst>
                <a:ext uri="{63B3BB69-23CF-44E3-9099-C40C66FF867C}">
                  <a14:compatExt spid="_x0000_s33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Equilibrio nas decisões dos empreendedores entre erros e acertos, porém, a maior parte atrasada.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82</xdr:row>
          <xdr:rowOff>180975</xdr:rowOff>
        </xdr:from>
        <xdr:to>
          <xdr:col>20</xdr:col>
          <xdr:colOff>419100</xdr:colOff>
          <xdr:row>84</xdr:row>
          <xdr:rowOff>19050</xdr:rowOff>
        </xdr:to>
        <xdr:sp macro="" textlink="">
          <xdr:nvSpPr>
            <xdr:cNvPr id="33871" name="Option Button 79" hidden="1">
              <a:extLst>
                <a:ext uri="{63B3BB69-23CF-44E3-9099-C40C66FF867C}">
                  <a14:compatExt spid="_x0000_s33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Equilibrio nas decisões dos empreendedores entre erros e acertos, sendo a maior parte em momento oportuno.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84</xdr:row>
          <xdr:rowOff>114300</xdr:rowOff>
        </xdr:from>
        <xdr:to>
          <xdr:col>20</xdr:col>
          <xdr:colOff>419100</xdr:colOff>
          <xdr:row>85</xdr:row>
          <xdr:rowOff>142875</xdr:rowOff>
        </xdr:to>
        <xdr:sp macro="" textlink="">
          <xdr:nvSpPr>
            <xdr:cNvPr id="33872" name="Option Button 80" hidden="1">
              <a:extLst>
                <a:ext uri="{63B3BB69-23CF-44E3-9099-C40C66FF867C}">
                  <a14:compatExt spid="_x0000_s33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Quase a totalidade das decisões tomadas pelos empreendedores são assertivas e no momento oportuno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90</xdr:row>
          <xdr:rowOff>114300</xdr:rowOff>
        </xdr:from>
        <xdr:to>
          <xdr:col>20</xdr:col>
          <xdr:colOff>590550</xdr:colOff>
          <xdr:row>98</xdr:row>
          <xdr:rowOff>123825</xdr:rowOff>
        </xdr:to>
        <xdr:sp macro="" textlink="">
          <xdr:nvSpPr>
            <xdr:cNvPr id="33873" name="Group Box 81" hidden="1">
              <a:extLst>
                <a:ext uri="{63B3BB69-23CF-44E3-9099-C40C66FF867C}">
                  <a14:compatExt spid="_x0000_s33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8. Alinhamento entre os empreendedores nas decisões estratégicas e de rotina.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91</xdr:row>
          <xdr:rowOff>123825</xdr:rowOff>
        </xdr:from>
        <xdr:to>
          <xdr:col>20</xdr:col>
          <xdr:colOff>419100</xdr:colOff>
          <xdr:row>92</xdr:row>
          <xdr:rowOff>152400</xdr:rowOff>
        </xdr:to>
        <xdr:sp macro="" textlink="">
          <xdr:nvSpPr>
            <xdr:cNvPr id="33874" name="Option Button 82" hidden="1">
              <a:extLst>
                <a:ext uri="{63B3BB69-23CF-44E3-9099-C40C66FF867C}">
                  <a14:compatExt spid="_x0000_s33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Grande parte das decisões tomadas pelos empreendedores não há consenso.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93</xdr:row>
          <xdr:rowOff>57150</xdr:rowOff>
        </xdr:from>
        <xdr:to>
          <xdr:col>20</xdr:col>
          <xdr:colOff>419100</xdr:colOff>
          <xdr:row>94</xdr:row>
          <xdr:rowOff>85725</xdr:rowOff>
        </xdr:to>
        <xdr:sp macro="" textlink="">
          <xdr:nvSpPr>
            <xdr:cNvPr id="33875" name="Option Button 83" hidden="1">
              <a:extLst>
                <a:ext uri="{63B3BB69-23CF-44E3-9099-C40C66FF867C}">
                  <a14:compatExt spid="_x0000_s33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Equilibrio nas decisões tomadas pelos empreendedores entre consenso e não consenso, prevalescendo os casos de não consenso.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94</xdr:row>
          <xdr:rowOff>180975</xdr:rowOff>
        </xdr:from>
        <xdr:to>
          <xdr:col>20</xdr:col>
          <xdr:colOff>419100</xdr:colOff>
          <xdr:row>96</xdr:row>
          <xdr:rowOff>19050</xdr:rowOff>
        </xdr:to>
        <xdr:sp macro="" textlink="">
          <xdr:nvSpPr>
            <xdr:cNvPr id="33876" name="Option Button 84" hidden="1">
              <a:extLst>
                <a:ext uri="{63B3BB69-23CF-44E3-9099-C40C66FF867C}">
                  <a14:compatExt spid="_x0000_s33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Equilibrio nas decisões tomadas pelos empreendedores entre consenso e não consenso, prevalescendo os casos de consenso.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96</xdr:row>
          <xdr:rowOff>114300</xdr:rowOff>
        </xdr:from>
        <xdr:to>
          <xdr:col>20</xdr:col>
          <xdr:colOff>419100</xdr:colOff>
          <xdr:row>97</xdr:row>
          <xdr:rowOff>142875</xdr:rowOff>
        </xdr:to>
        <xdr:sp macro="" textlink="">
          <xdr:nvSpPr>
            <xdr:cNvPr id="33877" name="Option Button 85" hidden="1">
              <a:extLst>
                <a:ext uri="{63B3BB69-23CF-44E3-9099-C40C66FF867C}">
                  <a14:compatExt spid="_x0000_s33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Quase a totalidade das decisões tomadas pelos empreendedores há consenso.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102</xdr:row>
          <xdr:rowOff>95250</xdr:rowOff>
        </xdr:from>
        <xdr:to>
          <xdr:col>20</xdr:col>
          <xdr:colOff>590550</xdr:colOff>
          <xdr:row>110</xdr:row>
          <xdr:rowOff>104775</xdr:rowOff>
        </xdr:to>
        <xdr:sp macro="" textlink="">
          <xdr:nvSpPr>
            <xdr:cNvPr id="33878" name="Group Box 86" hidden="1">
              <a:extLst>
                <a:ext uri="{63B3BB69-23CF-44E3-9099-C40C66FF867C}">
                  <a14:compatExt spid="_x0000_s33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9. Reconhecimento e incentivo entre os empreendedores são praticados à medida que os resultados esperados são alcançados (regra clara na partilha dos resultados positivos e negativos). [NÃO SE APLICA À MODALIDADE DE PRÉ-INCUBAÇÃO]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103</xdr:row>
          <xdr:rowOff>104775</xdr:rowOff>
        </xdr:from>
        <xdr:to>
          <xdr:col>20</xdr:col>
          <xdr:colOff>419100</xdr:colOff>
          <xdr:row>104</xdr:row>
          <xdr:rowOff>133350</xdr:rowOff>
        </xdr:to>
        <xdr:sp macro="" textlink="">
          <xdr:nvSpPr>
            <xdr:cNvPr id="33879" name="Option Button 87" hidden="1">
              <a:extLst>
                <a:ext uri="{63B3BB69-23CF-44E3-9099-C40C66FF867C}">
                  <a14:compatExt spid="_x0000_s33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existe reconhecimento e incentivos.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105</xdr:row>
          <xdr:rowOff>38100</xdr:rowOff>
        </xdr:from>
        <xdr:to>
          <xdr:col>20</xdr:col>
          <xdr:colOff>419100</xdr:colOff>
          <xdr:row>106</xdr:row>
          <xdr:rowOff>66675</xdr:rowOff>
        </xdr:to>
        <xdr:sp macro="" textlink="">
          <xdr:nvSpPr>
            <xdr:cNvPr id="33880" name="Option Button 88" hidden="1">
              <a:extLst>
                <a:ext uri="{63B3BB69-23CF-44E3-9099-C40C66FF867C}">
                  <a14:compatExt spid="_x0000_s33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Informalmente, existe reconhecimento e incentivo para os empreendedores quando alcançam os resultados esperados, porém, a orientação é de curto prazo.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106</xdr:row>
          <xdr:rowOff>161925</xdr:rowOff>
        </xdr:from>
        <xdr:to>
          <xdr:col>20</xdr:col>
          <xdr:colOff>419100</xdr:colOff>
          <xdr:row>108</xdr:row>
          <xdr:rowOff>0</xdr:rowOff>
        </xdr:to>
        <xdr:sp macro="" textlink="">
          <xdr:nvSpPr>
            <xdr:cNvPr id="33881" name="Option Button 89" hidden="1">
              <a:extLst>
                <a:ext uri="{63B3BB69-23CF-44E3-9099-C40C66FF867C}">
                  <a14:compatExt spid="_x0000_s33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Formalmente, existe reconhecimento e incentivo para os empreendedores quando alcançam os resultados esperados, porém, a orientação continua sendo de curto prazo.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108</xdr:row>
          <xdr:rowOff>95250</xdr:rowOff>
        </xdr:from>
        <xdr:to>
          <xdr:col>20</xdr:col>
          <xdr:colOff>419100</xdr:colOff>
          <xdr:row>109</xdr:row>
          <xdr:rowOff>123825</xdr:rowOff>
        </xdr:to>
        <xdr:sp macro="" textlink="">
          <xdr:nvSpPr>
            <xdr:cNvPr id="33882" name="Option Button 90" hidden="1">
              <a:extLst>
                <a:ext uri="{63B3BB69-23CF-44E3-9099-C40C66FF867C}">
                  <a14:compatExt spid="_x0000_s33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Modelo de reconhecimento e incentivo formal orientado aos resultados de médio e longo prazos.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114300</xdr:rowOff>
        </xdr:from>
        <xdr:to>
          <xdr:col>20</xdr:col>
          <xdr:colOff>590550</xdr:colOff>
          <xdr:row>26</xdr:row>
          <xdr:rowOff>123825</xdr:rowOff>
        </xdr:to>
        <xdr:sp macro="" textlink="">
          <xdr:nvSpPr>
            <xdr:cNvPr id="33883" name="Group Box 91" hidden="1">
              <a:extLst>
                <a:ext uri="{63B3BB69-23CF-44E3-9099-C40C66FF867C}">
                  <a14:compatExt spid="_x0000_s33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2. Os empreendedores possuem formação prática em Empreendedorismo.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409575</xdr:colOff>
      <xdr:row>90</xdr:row>
      <xdr:rowOff>85725</xdr:rowOff>
    </xdr:from>
    <xdr:to>
      <xdr:col>21</xdr:col>
      <xdr:colOff>828</xdr:colOff>
      <xdr:row>93</xdr:row>
      <xdr:rowOff>93180</xdr:rowOff>
    </xdr:to>
    <xdr:sp macro="[0]!irparamenu" textlink="">
      <xdr:nvSpPr>
        <xdr:cNvPr id="4" name="CaixaDeTexto 3"/>
        <xdr:cNvSpPr txBox="1"/>
      </xdr:nvSpPr>
      <xdr:spPr>
        <a:xfrm>
          <a:off x="10277475" y="18392775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181705</xdr:colOff>
      <xdr:row>1</xdr:row>
      <xdr:rowOff>203940</xdr:rowOff>
    </xdr:to>
    <xdr:pic>
      <xdr:nvPicPr>
        <xdr:cNvPr id="5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1925" y="47625"/>
          <a:ext cx="1962880" cy="442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180975</xdr:rowOff>
        </xdr:from>
        <xdr:to>
          <xdr:col>20</xdr:col>
          <xdr:colOff>590550</xdr:colOff>
          <xdr:row>14</xdr:row>
          <xdr:rowOff>114300</xdr:rowOff>
        </xdr:to>
        <xdr:sp macro="" textlink="">
          <xdr:nvSpPr>
            <xdr:cNvPr id="50177" name="Group Box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1. Modelo de negócio, proposta de valor e validações iniciais.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</xdr:row>
          <xdr:rowOff>0</xdr:rowOff>
        </xdr:from>
        <xdr:to>
          <xdr:col>20</xdr:col>
          <xdr:colOff>419100</xdr:colOff>
          <xdr:row>9</xdr:row>
          <xdr:rowOff>28575</xdr:rowOff>
        </xdr:to>
        <xdr:sp macro="" textlink="">
          <xdr:nvSpPr>
            <xdr:cNvPr id="50178" name="Option 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proposta de valor não está bem definida. Os principais elementos que constituem o modelo de negócio do empreendimento são desconhecidos. Validações não foram oportunizadas.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</xdr:row>
          <xdr:rowOff>123825</xdr:rowOff>
        </xdr:from>
        <xdr:to>
          <xdr:col>20</xdr:col>
          <xdr:colOff>419100</xdr:colOff>
          <xdr:row>10</xdr:row>
          <xdr:rowOff>152400</xdr:rowOff>
        </xdr:to>
        <xdr:sp macro="" textlink="">
          <xdr:nvSpPr>
            <xdr:cNvPr id="50179" name="Option Button 3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proposta de valor está definida. Os principais elementos que constituem o modelo de negócio do empreendimento são desconhecidos. Validações não foram oportunizadas.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</xdr:row>
          <xdr:rowOff>57150</xdr:rowOff>
        </xdr:from>
        <xdr:to>
          <xdr:col>20</xdr:col>
          <xdr:colOff>419100</xdr:colOff>
          <xdr:row>12</xdr:row>
          <xdr:rowOff>85725</xdr:rowOff>
        </xdr:to>
        <xdr:sp macro="" textlink="">
          <xdr:nvSpPr>
            <xdr:cNvPr id="50180" name="Option Button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proposta de valor está definida. Os principais elementos que constituem o modelo de negócio do empreendimento são conhecidos. Validações não foram oportunizadas.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12</xdr:row>
          <xdr:rowOff>180975</xdr:rowOff>
        </xdr:from>
        <xdr:to>
          <xdr:col>20</xdr:col>
          <xdr:colOff>419100</xdr:colOff>
          <xdr:row>14</xdr:row>
          <xdr:rowOff>19050</xdr:rowOff>
        </xdr:to>
        <xdr:sp macro="" textlink="">
          <xdr:nvSpPr>
            <xdr:cNvPr id="50181" name="Option Button 5" hidden="1">
              <a:extLst>
                <a:ext uri="{63B3BB69-23CF-44E3-9099-C40C66FF867C}">
                  <a14:compatExt spid="_x0000_s50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proposta de valor está definida. Os principais elementos que constituem o modelo de negócio do empreendimento são conhecidos. Validações foram oportunizadas, porém, é resultado de um processo informal de validação.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95250</xdr:rowOff>
        </xdr:from>
        <xdr:to>
          <xdr:col>20</xdr:col>
          <xdr:colOff>590550</xdr:colOff>
          <xdr:row>26</xdr:row>
          <xdr:rowOff>104775</xdr:rowOff>
        </xdr:to>
        <xdr:sp macro="" textlink="">
          <xdr:nvSpPr>
            <xdr:cNvPr id="50237" name="Group Box 61" hidden="1">
              <a:extLst>
                <a:ext uri="{63B3BB69-23CF-44E3-9099-C40C66FF867C}">
                  <a14:compatExt spid="_x0000_s50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2. Validação do Tripé de Sustentação do Negócio: a) Problema, necessidade, oportunidade; b) Segmentação de clientes e monetização; c) Solução inovadora.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19</xdr:row>
          <xdr:rowOff>104775</xdr:rowOff>
        </xdr:from>
        <xdr:to>
          <xdr:col>20</xdr:col>
          <xdr:colOff>419100</xdr:colOff>
          <xdr:row>20</xdr:row>
          <xdr:rowOff>133350</xdr:rowOff>
        </xdr:to>
        <xdr:sp macro="" textlink="">
          <xdr:nvSpPr>
            <xdr:cNvPr id="50238" name="Option Button 62" hidden="1">
              <a:extLst>
                <a:ext uri="{63B3BB69-23CF-44E3-9099-C40C66FF867C}">
                  <a14:compatExt spid="_x0000_s50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foram oportunizadas validações para o tripé de sustentação do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21</xdr:row>
          <xdr:rowOff>38100</xdr:rowOff>
        </xdr:from>
        <xdr:to>
          <xdr:col>20</xdr:col>
          <xdr:colOff>419100</xdr:colOff>
          <xdr:row>22</xdr:row>
          <xdr:rowOff>66675</xdr:rowOff>
        </xdr:to>
        <xdr:sp macro="" textlink="">
          <xdr:nvSpPr>
            <xdr:cNvPr id="50239" name="Option Button 63" hidden="1">
              <a:extLst>
                <a:ext uri="{63B3BB69-23CF-44E3-9099-C40C66FF867C}">
                  <a14:compatExt spid="_x0000_s50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Foram oportunizadas validações para o tripé de sustentação do negócio, porém, é resultado de um processo informal de validação.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22</xdr:row>
          <xdr:rowOff>161925</xdr:rowOff>
        </xdr:from>
        <xdr:to>
          <xdr:col>20</xdr:col>
          <xdr:colOff>419100</xdr:colOff>
          <xdr:row>24</xdr:row>
          <xdr:rowOff>0</xdr:rowOff>
        </xdr:to>
        <xdr:sp macro="" textlink="">
          <xdr:nvSpPr>
            <xdr:cNvPr id="50240" name="Option Button 64" hidden="1">
              <a:extLst>
                <a:ext uri="{63B3BB69-23CF-44E3-9099-C40C66FF867C}">
                  <a14:compatExt spid="_x0000_s50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Foram oportunizadas validações formais para o tripé de sustentação do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24</xdr:row>
          <xdr:rowOff>95250</xdr:rowOff>
        </xdr:from>
        <xdr:to>
          <xdr:col>20</xdr:col>
          <xdr:colOff>419100</xdr:colOff>
          <xdr:row>25</xdr:row>
          <xdr:rowOff>123825</xdr:rowOff>
        </xdr:to>
        <xdr:sp macro="" textlink="">
          <xdr:nvSpPr>
            <xdr:cNvPr id="50241" name="Option Button 65" hidden="1">
              <a:extLst>
                <a:ext uri="{63B3BB69-23CF-44E3-9099-C40C66FF867C}">
                  <a14:compatExt spid="_x0000_s5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tripe de sustentação do negócio validado. Além disso, as informações obtidas constituem elementos centrais no nosso processo de decisão e operação.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85725</xdr:rowOff>
        </xdr:from>
        <xdr:to>
          <xdr:col>20</xdr:col>
          <xdr:colOff>590550</xdr:colOff>
          <xdr:row>38</xdr:row>
          <xdr:rowOff>95250</xdr:rowOff>
        </xdr:to>
        <xdr:sp macro="" textlink="">
          <xdr:nvSpPr>
            <xdr:cNvPr id="50242" name="Group Box 66" hidden="1">
              <a:extLst>
                <a:ext uri="{63B3BB69-23CF-44E3-9099-C40C66FF867C}">
                  <a14:compatExt spid="_x0000_s5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3. Protótipo ou Produto Mínimo Viável e Fluxo do Processo de prestação do serviço ou comercialização do produto.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31</xdr:row>
          <xdr:rowOff>114300</xdr:rowOff>
        </xdr:from>
        <xdr:to>
          <xdr:col>20</xdr:col>
          <xdr:colOff>419100</xdr:colOff>
          <xdr:row>32</xdr:row>
          <xdr:rowOff>142875</xdr:rowOff>
        </xdr:to>
        <xdr:sp macro="" textlink="">
          <xdr:nvSpPr>
            <xdr:cNvPr id="50243" name="Option Button 67" hidden="1">
              <a:extLst>
                <a:ext uri="{63B3BB69-23CF-44E3-9099-C40C66FF867C}">
                  <a14:compatExt spid="_x0000_s5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existe protótipo ou MVP da solução inovadora.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33</xdr:row>
          <xdr:rowOff>47625</xdr:rowOff>
        </xdr:from>
        <xdr:to>
          <xdr:col>20</xdr:col>
          <xdr:colOff>419100</xdr:colOff>
          <xdr:row>34</xdr:row>
          <xdr:rowOff>76200</xdr:rowOff>
        </xdr:to>
        <xdr:sp macro="" textlink="">
          <xdr:nvSpPr>
            <xdr:cNvPr id="50244" name="Option Button 68" hidden="1">
              <a:extLst>
                <a:ext uri="{63B3BB69-23CF-44E3-9099-C40C66FF867C}">
                  <a14:compatExt spid="_x0000_s5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protótipo ou MVP da solução inovadora está sendo desenvolvido. Além disso, o fluxo do processo de prestação do serviço ou comercialização do produto está parcialmente definido.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34</xdr:row>
          <xdr:rowOff>171450</xdr:rowOff>
        </xdr:from>
        <xdr:to>
          <xdr:col>20</xdr:col>
          <xdr:colOff>419100</xdr:colOff>
          <xdr:row>36</xdr:row>
          <xdr:rowOff>9525</xdr:rowOff>
        </xdr:to>
        <xdr:sp macro="" textlink="">
          <xdr:nvSpPr>
            <xdr:cNvPr id="50245" name="Option Button 69" hidden="1">
              <a:extLst>
                <a:ext uri="{63B3BB69-23CF-44E3-9099-C40C66FF867C}">
                  <a14:compatExt spid="_x0000_s5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protótipo ou MVP da solução inovadora e o fluxo do processo de prestação do serviço ou comercialização do produto estão definidos.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36</xdr:row>
          <xdr:rowOff>104775</xdr:rowOff>
        </xdr:from>
        <xdr:to>
          <xdr:col>20</xdr:col>
          <xdr:colOff>419100</xdr:colOff>
          <xdr:row>37</xdr:row>
          <xdr:rowOff>133350</xdr:rowOff>
        </xdr:to>
        <xdr:sp macro="" textlink="">
          <xdr:nvSpPr>
            <xdr:cNvPr id="50246" name="Option Button 70" hidden="1">
              <a:extLst>
                <a:ext uri="{63B3BB69-23CF-44E3-9099-C40C66FF867C}">
                  <a14:compatExt spid="_x0000_s5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protótipo ou MVP da solução inovadora e o fluxo do processo de prestação do serviço ou comercialização do produto estão definidos. Além disso, já foram conduzidos testes e a solução está pronta para iniciar a monetização do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114300</xdr:rowOff>
        </xdr:from>
        <xdr:to>
          <xdr:col>20</xdr:col>
          <xdr:colOff>590550</xdr:colOff>
          <xdr:row>50</xdr:row>
          <xdr:rowOff>123825</xdr:rowOff>
        </xdr:to>
        <xdr:sp macro="" textlink="">
          <xdr:nvSpPr>
            <xdr:cNvPr id="50247" name="Group Box 71" hidden="1">
              <a:extLst>
                <a:ext uri="{63B3BB69-23CF-44E3-9099-C40C66FF867C}">
                  <a14:compatExt spid="_x0000_s5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4. Quanto a Análise de viabilidade (mercado, operacional, financeira, crescimento, produto/serviço) e Plano de Desenvolvimento do Produto/Serviço, necessários para o Planejamento do Negócio e do Produto, Serviço e/ou Tecnologia.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43</xdr:row>
          <xdr:rowOff>123825</xdr:rowOff>
        </xdr:from>
        <xdr:to>
          <xdr:col>20</xdr:col>
          <xdr:colOff>419100</xdr:colOff>
          <xdr:row>44</xdr:row>
          <xdr:rowOff>152400</xdr:rowOff>
        </xdr:to>
        <xdr:sp macro="" textlink="">
          <xdr:nvSpPr>
            <xdr:cNvPr id="50248" name="Option Button 72" hidden="1">
              <a:extLst>
                <a:ext uri="{63B3BB69-23CF-44E3-9099-C40C66FF867C}">
                  <a14:compatExt spid="_x0000_s5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viabilidades não foram determinadas como parte do processo de validação do tripé de sustentação do negócio. O plano de Desenvolvimento do Produto/Serviço não existe.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45</xdr:row>
          <xdr:rowOff>57150</xdr:rowOff>
        </xdr:from>
        <xdr:to>
          <xdr:col>20</xdr:col>
          <xdr:colOff>419100</xdr:colOff>
          <xdr:row>46</xdr:row>
          <xdr:rowOff>85725</xdr:rowOff>
        </xdr:to>
        <xdr:sp macro="" textlink="">
          <xdr:nvSpPr>
            <xdr:cNvPr id="50249" name="Option Button 73" hidden="1">
              <a:extLst>
                <a:ext uri="{63B3BB69-23CF-44E3-9099-C40C66FF867C}">
                  <a14:compatExt spid="_x0000_s5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viabilidades foram determinadas informalmente. O Plano de Desenvolvimento do Produto/Serviço não existe.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46</xdr:row>
          <xdr:rowOff>180975</xdr:rowOff>
        </xdr:from>
        <xdr:to>
          <xdr:col>20</xdr:col>
          <xdr:colOff>419100</xdr:colOff>
          <xdr:row>48</xdr:row>
          <xdr:rowOff>19050</xdr:rowOff>
        </xdr:to>
        <xdr:sp macro="" textlink="">
          <xdr:nvSpPr>
            <xdr:cNvPr id="50250" name="Option Button 74" hidden="1">
              <a:extLst>
                <a:ext uri="{63B3BB69-23CF-44E3-9099-C40C66FF867C}">
                  <a14:compatExt spid="_x0000_s5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viabilidades foram determinadas formalmente. O Plano de Desenvolvimento do Produto/Serviço foi elaborado.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48</xdr:row>
          <xdr:rowOff>114300</xdr:rowOff>
        </xdr:from>
        <xdr:to>
          <xdr:col>20</xdr:col>
          <xdr:colOff>419100</xdr:colOff>
          <xdr:row>49</xdr:row>
          <xdr:rowOff>142875</xdr:rowOff>
        </xdr:to>
        <xdr:sp macro="" textlink="">
          <xdr:nvSpPr>
            <xdr:cNvPr id="50251" name="Option Button 75" hidden="1">
              <a:extLst>
                <a:ext uri="{63B3BB69-23CF-44E3-9099-C40C66FF867C}">
                  <a14:compatExt spid="_x0000_s5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Viabilidades determinadas. Plano de Desenvolvimento do Produto/Serviço elaborado. Informações obtidas constituem elementos centrais do nosso processo de desenvolvimento, sendo complementares ao modelo de negócios e proposta de valor.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114300</xdr:rowOff>
        </xdr:from>
        <xdr:to>
          <xdr:col>20</xdr:col>
          <xdr:colOff>590550</xdr:colOff>
          <xdr:row>62</xdr:row>
          <xdr:rowOff>123825</xdr:rowOff>
        </xdr:to>
        <xdr:sp macro="" textlink="">
          <xdr:nvSpPr>
            <xdr:cNvPr id="50252" name="Group Box 76" hidden="1">
              <a:extLst>
                <a:ext uri="{63B3BB69-23CF-44E3-9099-C40C66FF867C}">
                  <a14:compatExt spid="_x0000_s5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5. Os registros e as licenças necessárias à operação são conhecidas e estão disponíveis.[NÃO SE APLICA À MODALIDADE DE PRÉ-INCUBAÇÃO]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55</xdr:row>
          <xdr:rowOff>123825</xdr:rowOff>
        </xdr:from>
        <xdr:to>
          <xdr:col>20</xdr:col>
          <xdr:colOff>419100</xdr:colOff>
          <xdr:row>56</xdr:row>
          <xdr:rowOff>152400</xdr:rowOff>
        </xdr:to>
        <xdr:sp macro="" textlink="">
          <xdr:nvSpPr>
            <xdr:cNvPr id="50253" name="Option Button 77" hidden="1">
              <a:extLst>
                <a:ext uri="{63B3BB69-23CF-44E3-9099-C40C66FF867C}">
                  <a14:compatExt spid="_x0000_s5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registros e as licenças necessárias à operação não são conhecidas.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57</xdr:row>
          <xdr:rowOff>57150</xdr:rowOff>
        </xdr:from>
        <xdr:to>
          <xdr:col>20</xdr:col>
          <xdr:colOff>419100</xdr:colOff>
          <xdr:row>58</xdr:row>
          <xdr:rowOff>85725</xdr:rowOff>
        </xdr:to>
        <xdr:sp macro="" textlink="">
          <xdr:nvSpPr>
            <xdr:cNvPr id="50254" name="Option Button 78" hidden="1">
              <a:extLst>
                <a:ext uri="{63B3BB69-23CF-44E3-9099-C40C66FF867C}">
                  <a14:compatExt spid="_x0000_s5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Alguns registros e algumas licenças necessárias à operação são conhecidas, mas não estão disponíveis.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58</xdr:row>
          <xdr:rowOff>180975</xdr:rowOff>
        </xdr:from>
        <xdr:to>
          <xdr:col>20</xdr:col>
          <xdr:colOff>419100</xdr:colOff>
          <xdr:row>60</xdr:row>
          <xdr:rowOff>19050</xdr:rowOff>
        </xdr:to>
        <xdr:sp macro="" textlink="">
          <xdr:nvSpPr>
            <xdr:cNvPr id="50255" name="Option Button 79" hidden="1">
              <a:extLst>
                <a:ext uri="{63B3BB69-23CF-44E3-9099-C40C66FF867C}">
                  <a14:compatExt spid="_x0000_s5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registros e as licenças necessárias à operação são conhecidas, mas não estão disponíveis.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60</xdr:row>
          <xdr:rowOff>114300</xdr:rowOff>
        </xdr:from>
        <xdr:to>
          <xdr:col>20</xdr:col>
          <xdr:colOff>419100</xdr:colOff>
          <xdr:row>61</xdr:row>
          <xdr:rowOff>142875</xdr:rowOff>
        </xdr:to>
        <xdr:sp macro="" textlink="">
          <xdr:nvSpPr>
            <xdr:cNvPr id="50256" name="Option Button 80" hidden="1">
              <a:extLst>
                <a:ext uri="{63B3BB69-23CF-44E3-9099-C40C66FF867C}">
                  <a14:compatExt spid="_x0000_s5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registros e as licenças necessárias à operação são conhecidas e estão disponíveis.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95250</xdr:rowOff>
        </xdr:from>
        <xdr:to>
          <xdr:col>20</xdr:col>
          <xdr:colOff>590550</xdr:colOff>
          <xdr:row>74</xdr:row>
          <xdr:rowOff>104775</xdr:rowOff>
        </xdr:to>
        <xdr:sp macro="" textlink="">
          <xdr:nvSpPr>
            <xdr:cNvPr id="50257" name="Group Box 81" hidden="1">
              <a:extLst>
                <a:ext uri="{63B3BB69-23CF-44E3-9099-C40C66FF867C}">
                  <a14:compatExt spid="_x0000_s5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6. Propriedade Intelectual/Patente, necessários à segurança do negócio e da operação são conhecidas e foram providenciadas.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67</xdr:row>
          <xdr:rowOff>104775</xdr:rowOff>
        </xdr:from>
        <xdr:to>
          <xdr:col>20</xdr:col>
          <xdr:colOff>419100</xdr:colOff>
          <xdr:row>68</xdr:row>
          <xdr:rowOff>133350</xdr:rowOff>
        </xdr:to>
        <xdr:sp macro="" textlink="">
          <xdr:nvSpPr>
            <xdr:cNvPr id="50258" name="Option Button 82" hidden="1">
              <a:extLst>
                <a:ext uri="{63B3BB69-23CF-44E3-9099-C40C66FF867C}">
                  <a14:compatExt spid="_x0000_s5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propriedade intelectual/patente, necessários à segurança do negócio e da operação não são conhecidos.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69</xdr:row>
          <xdr:rowOff>38100</xdr:rowOff>
        </xdr:from>
        <xdr:to>
          <xdr:col>20</xdr:col>
          <xdr:colOff>419100</xdr:colOff>
          <xdr:row>70</xdr:row>
          <xdr:rowOff>66675</xdr:rowOff>
        </xdr:to>
        <xdr:sp macro="" textlink="">
          <xdr:nvSpPr>
            <xdr:cNvPr id="50259" name="Option Button 83" hidden="1">
              <a:extLst>
                <a:ext uri="{63B3BB69-23CF-44E3-9099-C40C66FF867C}">
                  <a14:compatExt spid="_x0000_s5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propriedade intelectual/patente, necessários à segurança do negócio e da operação são conhecidos, porém, não foram providenciadas.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70</xdr:row>
          <xdr:rowOff>161925</xdr:rowOff>
        </xdr:from>
        <xdr:to>
          <xdr:col>20</xdr:col>
          <xdr:colOff>419100</xdr:colOff>
          <xdr:row>72</xdr:row>
          <xdr:rowOff>0</xdr:rowOff>
        </xdr:to>
        <xdr:sp macro="" textlink="">
          <xdr:nvSpPr>
            <xdr:cNvPr id="50260" name="Option Button 84" hidden="1">
              <a:extLst>
                <a:ext uri="{63B3BB69-23CF-44E3-9099-C40C66FF867C}">
                  <a14:compatExt spid="_x0000_s5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propriedade intelectual/patente, necessários à segurança do negócio e da operação são conhecidos, porém, estão sendo providenciados.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72</xdr:row>
          <xdr:rowOff>95250</xdr:rowOff>
        </xdr:from>
        <xdr:to>
          <xdr:col>20</xdr:col>
          <xdr:colOff>419100</xdr:colOff>
          <xdr:row>73</xdr:row>
          <xdr:rowOff>123825</xdr:rowOff>
        </xdr:to>
        <xdr:sp macro="" textlink="">
          <xdr:nvSpPr>
            <xdr:cNvPr id="50261" name="Option Button 85" hidden="1">
              <a:extLst>
                <a:ext uri="{63B3BB69-23CF-44E3-9099-C40C66FF867C}">
                  <a14:compatExt spid="_x0000_s5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propriedade intelectual/patente, necessários à segurança do negócio e da operação são conhecidos e estão disponíveis. Além disso, são atualizadas, considerando requisitos do negócio e exigências legais.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78</xdr:row>
          <xdr:rowOff>104775</xdr:rowOff>
        </xdr:from>
        <xdr:to>
          <xdr:col>20</xdr:col>
          <xdr:colOff>590550</xdr:colOff>
          <xdr:row>86</xdr:row>
          <xdr:rowOff>114300</xdr:rowOff>
        </xdr:to>
        <xdr:sp macro="" textlink="">
          <xdr:nvSpPr>
            <xdr:cNvPr id="50267" name="Group Box 91" hidden="1">
              <a:extLst>
                <a:ext uri="{63B3BB69-23CF-44E3-9099-C40C66FF867C}">
                  <a14:compatExt spid="_x0000_s5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7. São obtidas e utilizadas informações comparativas na análise do desempenho e melhoria dos produtos/serviços ou inovação.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79</xdr:row>
          <xdr:rowOff>114300</xdr:rowOff>
        </xdr:from>
        <xdr:to>
          <xdr:col>20</xdr:col>
          <xdr:colOff>419100</xdr:colOff>
          <xdr:row>80</xdr:row>
          <xdr:rowOff>142875</xdr:rowOff>
        </xdr:to>
        <xdr:sp macro="" textlink="">
          <xdr:nvSpPr>
            <xdr:cNvPr id="50268" name="Option Button 92" hidden="1">
              <a:extLst>
                <a:ext uri="{63B3BB69-23CF-44E3-9099-C40C66FF867C}">
                  <a14:compatExt spid="_x0000_s5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são obtidas informações comparativas para análise do desempenho e melhoria dos produtos/serviços ou inovação.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81</xdr:row>
          <xdr:rowOff>47625</xdr:rowOff>
        </xdr:from>
        <xdr:to>
          <xdr:col>20</xdr:col>
          <xdr:colOff>419100</xdr:colOff>
          <xdr:row>82</xdr:row>
          <xdr:rowOff>76200</xdr:rowOff>
        </xdr:to>
        <xdr:sp macro="" textlink="">
          <xdr:nvSpPr>
            <xdr:cNvPr id="50269" name="Option Button 93" hidden="1">
              <a:extLst>
                <a:ext uri="{63B3BB69-23CF-44E3-9099-C40C66FF867C}">
                  <a14:compatExt spid="_x0000_s5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Ocasionalmente, ou seja, sem esforço direto dos empreendedores, são obtidas informações comparativas para análise do desempenho dos produtos/serviços.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82</xdr:row>
          <xdr:rowOff>171450</xdr:rowOff>
        </xdr:from>
        <xdr:to>
          <xdr:col>20</xdr:col>
          <xdr:colOff>419100</xdr:colOff>
          <xdr:row>84</xdr:row>
          <xdr:rowOff>9525</xdr:rowOff>
        </xdr:to>
        <xdr:sp macro="" textlink="">
          <xdr:nvSpPr>
            <xdr:cNvPr id="50270" name="Option Button 94" hidden="1">
              <a:extLst>
                <a:ext uri="{63B3BB69-23CF-44E3-9099-C40C66FF867C}">
                  <a14:compatExt spid="_x0000_s5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Regularmente, ou seja, com esforço direto dos empreendedores, são obtidas informações comparativas para análise do desempenho dos produtos/serviços.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84</xdr:row>
          <xdr:rowOff>104775</xdr:rowOff>
        </xdr:from>
        <xdr:to>
          <xdr:col>20</xdr:col>
          <xdr:colOff>419100</xdr:colOff>
          <xdr:row>85</xdr:row>
          <xdr:rowOff>133350</xdr:rowOff>
        </xdr:to>
        <xdr:sp macro="" textlink="">
          <xdr:nvSpPr>
            <xdr:cNvPr id="50271" name="Option Button 95" hidden="1">
              <a:extLst>
                <a:ext uri="{63B3BB69-23CF-44E3-9099-C40C66FF867C}">
                  <a14:compatExt spid="_x0000_s5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Informações comparativas para análise do desempenho oportunizam/oportunizaram melhoria dos produtos/serviços ou inovação.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409575</xdr:colOff>
      <xdr:row>66</xdr:row>
      <xdr:rowOff>76200</xdr:rowOff>
    </xdr:from>
    <xdr:to>
      <xdr:col>21</xdr:col>
      <xdr:colOff>828</xdr:colOff>
      <xdr:row>69</xdr:row>
      <xdr:rowOff>83655</xdr:rowOff>
    </xdr:to>
    <xdr:sp macro="[0]!irparamenu" textlink="">
      <xdr:nvSpPr>
        <xdr:cNvPr id="4" name="CaixaDeTexto 3"/>
        <xdr:cNvSpPr txBox="1"/>
      </xdr:nvSpPr>
      <xdr:spPr>
        <a:xfrm>
          <a:off x="10277475" y="13811250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181705</xdr:colOff>
      <xdr:row>1</xdr:row>
      <xdr:rowOff>203940</xdr:rowOff>
    </xdr:to>
    <xdr:pic>
      <xdr:nvPicPr>
        <xdr:cNvPr id="5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1925" y="47625"/>
          <a:ext cx="1962880" cy="442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180975</xdr:rowOff>
        </xdr:from>
        <xdr:to>
          <xdr:col>20</xdr:col>
          <xdr:colOff>590550</xdr:colOff>
          <xdr:row>14</xdr:row>
          <xdr:rowOff>104775</xdr:rowOff>
        </xdr:to>
        <xdr:sp macro="" textlink="">
          <xdr:nvSpPr>
            <xdr:cNvPr id="51201" name="Group Box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1. Recursos/investimentos financeiros necessários para o desenvolvimento do produto e/ou serviço ou operação (venda e distribuição).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</xdr:row>
          <xdr:rowOff>0</xdr:rowOff>
        </xdr:from>
        <xdr:to>
          <xdr:col>20</xdr:col>
          <xdr:colOff>419100</xdr:colOff>
          <xdr:row>9</xdr:row>
          <xdr:rowOff>28575</xdr:rowOff>
        </xdr:to>
        <xdr:sp macro="" textlink="">
          <xdr:nvSpPr>
            <xdr:cNvPr id="51202" name="Option 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Demandamos apoio financeiro total, ou seja, não dispomos dos recursos/investimentos necessários para o desenvolvimento do produto e/ou serviço ou operação e não contamos com o suporte de terceiros.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</xdr:row>
          <xdr:rowOff>123825</xdr:rowOff>
        </xdr:from>
        <xdr:to>
          <xdr:col>20</xdr:col>
          <xdr:colOff>419100</xdr:colOff>
          <xdr:row>10</xdr:row>
          <xdr:rowOff>152400</xdr:rowOff>
        </xdr:to>
        <xdr:sp macro="" textlink="">
          <xdr:nvSpPr>
            <xdr:cNvPr id="51203" name="Option Button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Demandamos apoio financeiro parcial, ou seja, não dispomos dos recursos/investimentos necessários, porém, contamos com suporte de terceiros. O contrário também se aplica.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</xdr:row>
          <xdr:rowOff>57150</xdr:rowOff>
        </xdr:from>
        <xdr:to>
          <xdr:col>20</xdr:col>
          <xdr:colOff>419100</xdr:colOff>
          <xdr:row>12</xdr:row>
          <xdr:rowOff>85725</xdr:rowOff>
        </xdr:to>
        <xdr:sp macro="" textlink="">
          <xdr:nvSpPr>
            <xdr:cNvPr id="51204" name="Option Button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Demandamos apoio financeiro parcial, ou seja, dispomos, parcialmente, dos recursos/investimentos necessários e, além disso, contamos com suporte também parcial de terceiros.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12</xdr:row>
          <xdr:rowOff>180975</xdr:rowOff>
        </xdr:from>
        <xdr:to>
          <xdr:col>20</xdr:col>
          <xdr:colOff>419100</xdr:colOff>
          <xdr:row>14</xdr:row>
          <xdr:rowOff>19050</xdr:rowOff>
        </xdr:to>
        <xdr:sp macro="" textlink="">
          <xdr:nvSpPr>
            <xdr:cNvPr id="51205" name="Option Button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demandamos apoio financeiro, ou seja, dispomos dos recursos/investimentos necessários e/ou contamos com suporte terceiros.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38100</xdr:rowOff>
        </xdr:from>
        <xdr:to>
          <xdr:col>20</xdr:col>
          <xdr:colOff>590550</xdr:colOff>
          <xdr:row>27</xdr:row>
          <xdr:rowOff>47625</xdr:rowOff>
        </xdr:to>
        <xdr:sp macro="" textlink="">
          <xdr:nvSpPr>
            <xdr:cNvPr id="51246" name="Group Box 46" hidden="1">
              <a:extLst>
                <a:ext uri="{63B3BB69-23CF-44E3-9099-C40C66FF867C}">
                  <a14:compatExt spid="_x0000_s51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2. Fontes de financiamento, capazes de oportunizar o desenvolvimento do produto/serviço são conhecidas e projetos de inovação foram apresentados.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19</xdr:row>
          <xdr:rowOff>123825</xdr:rowOff>
        </xdr:from>
        <xdr:to>
          <xdr:col>20</xdr:col>
          <xdr:colOff>419100</xdr:colOff>
          <xdr:row>20</xdr:row>
          <xdr:rowOff>152400</xdr:rowOff>
        </xdr:to>
        <xdr:sp macro="" textlink="">
          <xdr:nvSpPr>
            <xdr:cNvPr id="51247" name="Option Button 47" hidden="1">
              <a:extLst>
                <a:ext uri="{63B3BB69-23CF-44E3-9099-C40C66FF867C}">
                  <a14:compatExt spid="_x0000_s51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empreendedores desconhecem quais são as fontes de fontes de financiamento capazes de oportunizar o desenvolvimento do produto/serviço.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21</xdr:row>
          <xdr:rowOff>57150</xdr:rowOff>
        </xdr:from>
        <xdr:to>
          <xdr:col>20</xdr:col>
          <xdr:colOff>419100</xdr:colOff>
          <xdr:row>22</xdr:row>
          <xdr:rowOff>85725</xdr:rowOff>
        </xdr:to>
        <xdr:sp macro="" textlink="">
          <xdr:nvSpPr>
            <xdr:cNvPr id="51248" name="Option Button 48" hidden="1">
              <a:extLst>
                <a:ext uri="{63B3BB69-23CF-44E3-9099-C40C66FF867C}">
                  <a14:compatExt spid="_x0000_s51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Fontes de financiamento, capazes de oportunizar o desenvolvimento do produto/serviço são conhecidas, porém, projetos de inovação não foram apresentados.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22</xdr:row>
          <xdr:rowOff>180975</xdr:rowOff>
        </xdr:from>
        <xdr:to>
          <xdr:col>20</xdr:col>
          <xdr:colOff>419100</xdr:colOff>
          <xdr:row>24</xdr:row>
          <xdr:rowOff>19050</xdr:rowOff>
        </xdr:to>
        <xdr:sp macro="" textlink="">
          <xdr:nvSpPr>
            <xdr:cNvPr id="51249" name="Option Button 49" hidden="1">
              <a:extLst>
                <a:ext uri="{63B3BB69-23CF-44E3-9099-C40C66FF867C}">
                  <a14:compatExt spid="_x0000_s51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Fontes de financiamento, capazes de oportunizar o desenvolvimento do produto/serviço são conhecidas e projetos de inovação foram apresentados, porém, não foram aprovados.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24</xdr:row>
          <xdr:rowOff>114300</xdr:rowOff>
        </xdr:from>
        <xdr:to>
          <xdr:col>20</xdr:col>
          <xdr:colOff>419100</xdr:colOff>
          <xdr:row>25</xdr:row>
          <xdr:rowOff>142875</xdr:rowOff>
        </xdr:to>
        <xdr:sp macro="" textlink="">
          <xdr:nvSpPr>
            <xdr:cNvPr id="51250" name="Option Button 50" hidden="1">
              <a:extLst>
                <a:ext uri="{63B3BB69-23CF-44E3-9099-C40C66FF867C}">
                  <a14:compatExt spid="_x0000_s51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Fontes de financiamento, capazes de oportunizar o desenvolvimento do produto/serviço são conhecidas e projetos de inovação foram apresentados e aprovados.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104775</xdr:rowOff>
        </xdr:from>
        <xdr:to>
          <xdr:col>20</xdr:col>
          <xdr:colOff>590550</xdr:colOff>
          <xdr:row>38</xdr:row>
          <xdr:rowOff>114300</xdr:rowOff>
        </xdr:to>
        <xdr:sp macro="" textlink="">
          <xdr:nvSpPr>
            <xdr:cNvPr id="51251" name="Group Box 51" hidden="1">
              <a:extLst>
                <a:ext uri="{63B3BB69-23CF-44E3-9099-C40C66FF867C}">
                  <a14:compatExt spid="_x0000_s51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3. Projeções de receitas e de custos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31</xdr:row>
          <xdr:rowOff>114300</xdr:rowOff>
        </xdr:from>
        <xdr:to>
          <xdr:col>20</xdr:col>
          <xdr:colOff>419100</xdr:colOff>
          <xdr:row>32</xdr:row>
          <xdr:rowOff>142875</xdr:rowOff>
        </xdr:to>
        <xdr:sp macro="" textlink="">
          <xdr:nvSpPr>
            <xdr:cNvPr id="51252" name="Option Button 52" hidden="1">
              <a:extLst>
                <a:ext uri="{63B3BB69-23CF-44E3-9099-C40C66FF867C}">
                  <a14:compatExt spid="_x0000_s51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existem projeções de receitas e de custos para orientar os empreendedores na alavancagem do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33</xdr:row>
          <xdr:rowOff>47625</xdr:rowOff>
        </xdr:from>
        <xdr:to>
          <xdr:col>20</xdr:col>
          <xdr:colOff>419100</xdr:colOff>
          <xdr:row>34</xdr:row>
          <xdr:rowOff>76200</xdr:rowOff>
        </xdr:to>
        <xdr:sp macro="" textlink="">
          <xdr:nvSpPr>
            <xdr:cNvPr id="51253" name="Option Button 53" hidden="1">
              <a:extLst>
                <a:ext uri="{63B3BB69-23CF-44E3-9099-C40C66FF867C}">
                  <a14:compatExt spid="_x0000_s51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Existem projeções de receitas e de custos para orientar os empreendedores na alavancagem do negócio, porém, é resultado de um processo informal de definição.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34</xdr:row>
          <xdr:rowOff>171450</xdr:rowOff>
        </xdr:from>
        <xdr:to>
          <xdr:col>20</xdr:col>
          <xdr:colOff>419100</xdr:colOff>
          <xdr:row>36</xdr:row>
          <xdr:rowOff>9525</xdr:rowOff>
        </xdr:to>
        <xdr:sp macro="" textlink="">
          <xdr:nvSpPr>
            <xdr:cNvPr id="51254" name="Option Button 54" hidden="1">
              <a:extLst>
                <a:ext uri="{63B3BB69-23CF-44E3-9099-C40C66FF867C}">
                  <a14:compatExt spid="_x0000_s51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Existem projeções de receitas e de custos para orientar os empreendedores na alavancagem do negócio como base de um processo formal de definição.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36</xdr:row>
          <xdr:rowOff>104775</xdr:rowOff>
        </xdr:from>
        <xdr:to>
          <xdr:col>20</xdr:col>
          <xdr:colOff>419100</xdr:colOff>
          <xdr:row>37</xdr:row>
          <xdr:rowOff>133350</xdr:rowOff>
        </xdr:to>
        <xdr:sp macro="" textlink="">
          <xdr:nvSpPr>
            <xdr:cNvPr id="51255" name="Option Button 55" hidden="1">
              <a:extLst>
                <a:ext uri="{63B3BB69-23CF-44E3-9099-C40C66FF867C}">
                  <a14:compatExt spid="_x0000_s51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Projeções de receitas e de custos foram formalmente definidas. Além disso, ações específicas de alavancagem, com base nessa informações, foram ou estão sendo oportunizadas pelos empreendedores.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104775</xdr:rowOff>
        </xdr:from>
        <xdr:to>
          <xdr:col>20</xdr:col>
          <xdr:colOff>590550</xdr:colOff>
          <xdr:row>50</xdr:row>
          <xdr:rowOff>114300</xdr:rowOff>
        </xdr:to>
        <xdr:sp macro="" textlink="">
          <xdr:nvSpPr>
            <xdr:cNvPr id="51256" name="Group Box 56" hidden="1">
              <a:extLst>
                <a:ext uri="{63B3BB69-23CF-44E3-9099-C40C66FF867C}">
                  <a14:compatExt spid="_x0000_s51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4. Alavancagem financeira.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43</xdr:row>
          <xdr:rowOff>114300</xdr:rowOff>
        </xdr:from>
        <xdr:to>
          <xdr:col>20</xdr:col>
          <xdr:colOff>419100</xdr:colOff>
          <xdr:row>44</xdr:row>
          <xdr:rowOff>142875</xdr:rowOff>
        </xdr:to>
        <xdr:sp macro="" textlink="">
          <xdr:nvSpPr>
            <xdr:cNvPr id="51257" name="Option Button 57" hidden="1">
              <a:extLst>
                <a:ext uri="{63B3BB69-23CF-44E3-9099-C40C66FF867C}">
                  <a14:compatExt spid="_x0000_s51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Desconhecem estratégias, ações e metas capazes de oportunizar a alavancagem financeira do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45</xdr:row>
          <xdr:rowOff>47625</xdr:rowOff>
        </xdr:from>
        <xdr:to>
          <xdr:col>20</xdr:col>
          <xdr:colOff>419100</xdr:colOff>
          <xdr:row>46</xdr:row>
          <xdr:rowOff>76200</xdr:rowOff>
        </xdr:to>
        <xdr:sp macro="" textlink="">
          <xdr:nvSpPr>
            <xdr:cNvPr id="51258" name="Option Button 58" hidden="1">
              <a:extLst>
                <a:ext uri="{63B3BB69-23CF-44E3-9099-C40C66FF867C}">
                  <a14:compatExt spid="_x0000_s51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Conhecem, informalmente, estratégias, ações e metas capazes de oportunizar a alavancagem financeira.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46</xdr:row>
          <xdr:rowOff>171450</xdr:rowOff>
        </xdr:from>
        <xdr:to>
          <xdr:col>20</xdr:col>
          <xdr:colOff>419100</xdr:colOff>
          <xdr:row>48</xdr:row>
          <xdr:rowOff>9525</xdr:rowOff>
        </xdr:to>
        <xdr:sp macro="" textlink="">
          <xdr:nvSpPr>
            <xdr:cNvPr id="51259" name="Option Button 59" hidden="1">
              <a:extLst>
                <a:ext uri="{63B3BB69-23CF-44E3-9099-C40C66FF867C}">
                  <a14:compatExt spid="_x0000_s51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Conhecem es estratégias, ações e metas capazes de oportunizar a alavancagem financeira, considerando o exemplo prático vivenciado.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48</xdr:row>
          <xdr:rowOff>104775</xdr:rowOff>
        </xdr:from>
        <xdr:to>
          <xdr:col>20</xdr:col>
          <xdr:colOff>419100</xdr:colOff>
          <xdr:row>49</xdr:row>
          <xdr:rowOff>133350</xdr:rowOff>
        </xdr:to>
        <xdr:sp macro="" textlink="">
          <xdr:nvSpPr>
            <xdr:cNvPr id="51260" name="Option Button 60" hidden="1">
              <a:extLst>
                <a:ext uri="{63B3BB69-23CF-44E3-9099-C40C66FF867C}">
                  <a14:compatExt spid="_x0000_s51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Conhecem es estratégias, ações e metas capazes de oportunizar a alavancagem financeira, considerando os vários exemplos práticos vivenciados.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104775</xdr:rowOff>
        </xdr:from>
        <xdr:to>
          <xdr:col>20</xdr:col>
          <xdr:colOff>590550</xdr:colOff>
          <xdr:row>62</xdr:row>
          <xdr:rowOff>114300</xdr:rowOff>
        </xdr:to>
        <xdr:sp macro="" textlink="">
          <xdr:nvSpPr>
            <xdr:cNvPr id="51261" name="Group Box 61" hidden="1">
              <a:extLst>
                <a:ext uri="{63B3BB69-23CF-44E3-9099-C40C66FF867C}">
                  <a14:compatExt spid="_x0000_s51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5. Cultura de projetos e captação de recursos para desenvolvimento do produto e/ou serviço.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55</xdr:row>
          <xdr:rowOff>114300</xdr:rowOff>
        </xdr:from>
        <xdr:to>
          <xdr:col>20</xdr:col>
          <xdr:colOff>419100</xdr:colOff>
          <xdr:row>56</xdr:row>
          <xdr:rowOff>142875</xdr:rowOff>
        </xdr:to>
        <xdr:sp macro="" textlink="">
          <xdr:nvSpPr>
            <xdr:cNvPr id="51262" name="Option Button 62" hidden="1">
              <a:extLst>
                <a:ext uri="{63B3BB69-23CF-44E3-9099-C40C66FF867C}">
                  <a14:compatExt spid="_x0000_s51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empreendedores não enxergam a gestão de projetos e a oportunidade de captação de recursos como parte do processo de melhoria ou inovação do produto/serviço.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57</xdr:row>
          <xdr:rowOff>47625</xdr:rowOff>
        </xdr:from>
        <xdr:to>
          <xdr:col>20</xdr:col>
          <xdr:colOff>419100</xdr:colOff>
          <xdr:row>58</xdr:row>
          <xdr:rowOff>76200</xdr:rowOff>
        </xdr:to>
        <xdr:sp macro="" textlink="">
          <xdr:nvSpPr>
            <xdr:cNvPr id="51263" name="Option Button 63" hidden="1">
              <a:extLst>
                <a:ext uri="{63B3BB69-23CF-44E3-9099-C40C66FF867C}">
                  <a14:compatExt spid="_x0000_s51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empreendedores enxergam, informalmente, a gestão de projetos e a oportunidade de captação de recursos como parte do processo de melhoria ou inovação do produto/serviço.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58</xdr:row>
          <xdr:rowOff>171450</xdr:rowOff>
        </xdr:from>
        <xdr:to>
          <xdr:col>20</xdr:col>
          <xdr:colOff>419100</xdr:colOff>
          <xdr:row>60</xdr:row>
          <xdr:rowOff>9525</xdr:rowOff>
        </xdr:to>
        <xdr:sp macro="" textlink="">
          <xdr:nvSpPr>
            <xdr:cNvPr id="51264" name="Option Button 64" hidden="1">
              <a:extLst>
                <a:ext uri="{63B3BB69-23CF-44E3-9099-C40C66FF867C}">
                  <a14:compatExt spid="_x0000_s51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Para os empreendedores, a gestão de projetos e as captações de recursos podem oportunizar melhoria ou inovação do produto/serviço, considerando o exemplo prático de resultado vivenciado.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60</xdr:row>
          <xdr:rowOff>104775</xdr:rowOff>
        </xdr:from>
        <xdr:to>
          <xdr:col>20</xdr:col>
          <xdr:colOff>419100</xdr:colOff>
          <xdr:row>61</xdr:row>
          <xdr:rowOff>133350</xdr:rowOff>
        </xdr:to>
        <xdr:sp macro="" textlink="">
          <xdr:nvSpPr>
            <xdr:cNvPr id="51265" name="Option Button 65" hidden="1">
              <a:extLst>
                <a:ext uri="{63B3BB69-23CF-44E3-9099-C40C66FF867C}">
                  <a14:compatExt spid="_x0000_s5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gestão de projetos e as captações de recursos são bases para melhoria ou inovação do produto/serviço, considerando alguns exemplos práticos de resultados vivenciados. Além disso, estão impulsionando o alcance da visão de futuro. 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409575</xdr:colOff>
      <xdr:row>150</xdr:row>
      <xdr:rowOff>76200</xdr:rowOff>
    </xdr:from>
    <xdr:to>
      <xdr:col>21</xdr:col>
      <xdr:colOff>828</xdr:colOff>
      <xdr:row>153</xdr:row>
      <xdr:rowOff>0</xdr:rowOff>
    </xdr:to>
    <xdr:sp macro="[0]!irparamenu" textlink="">
      <xdr:nvSpPr>
        <xdr:cNvPr id="4" name="CaixaDeTexto 3"/>
        <xdr:cNvSpPr txBox="1"/>
      </xdr:nvSpPr>
      <xdr:spPr>
        <a:xfrm>
          <a:off x="10277475" y="29813250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181705</xdr:colOff>
      <xdr:row>1</xdr:row>
      <xdr:rowOff>203940</xdr:rowOff>
    </xdr:to>
    <xdr:pic>
      <xdr:nvPicPr>
        <xdr:cNvPr id="5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1925" y="47625"/>
          <a:ext cx="1962880" cy="442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180975</xdr:rowOff>
        </xdr:from>
        <xdr:to>
          <xdr:col>20</xdr:col>
          <xdr:colOff>590550</xdr:colOff>
          <xdr:row>14</xdr:row>
          <xdr:rowOff>104775</xdr:rowOff>
        </xdr:to>
        <xdr:sp macro="" textlink="">
          <xdr:nvSpPr>
            <xdr:cNvPr id="41985" name="Group Box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1. Nossos clientes estão segmentados. As necessidades de cada segmento de clientes é conhecida.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</xdr:row>
          <xdr:rowOff>0</xdr:rowOff>
        </xdr:from>
        <xdr:to>
          <xdr:col>20</xdr:col>
          <xdr:colOff>419100</xdr:colOff>
          <xdr:row>9</xdr:row>
          <xdr:rowOff>28575</xdr:rowOff>
        </xdr:to>
        <xdr:sp macro="" textlink="">
          <xdr:nvSpPr>
            <xdr:cNvPr id="41986" name="Option 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há nenhum tipo de segmentação de clientes.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</xdr:row>
          <xdr:rowOff>123825</xdr:rowOff>
        </xdr:from>
        <xdr:to>
          <xdr:col>20</xdr:col>
          <xdr:colOff>419100</xdr:colOff>
          <xdr:row>10</xdr:row>
          <xdr:rowOff>152400</xdr:rowOff>
        </xdr:to>
        <xdr:sp macro="" textlink="">
          <xdr:nvSpPr>
            <xdr:cNvPr id="41987" name="Option Button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clientes não estão segmentados. A identificação de necessidades é feita de forma intuitiva, ou seja, com os insigths dos empreendedores.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</xdr:row>
          <xdr:rowOff>57150</xdr:rowOff>
        </xdr:from>
        <xdr:to>
          <xdr:col>20</xdr:col>
          <xdr:colOff>419100</xdr:colOff>
          <xdr:row>12</xdr:row>
          <xdr:rowOff>85725</xdr:rowOff>
        </xdr:to>
        <xdr:sp macro="" textlink="">
          <xdr:nvSpPr>
            <xdr:cNvPr id="41988" name="Option 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clientes são segmentados e as necessidades de cada segmento são identificadas informalmente por meio de algumas informações obtidas dos clientes.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12</xdr:row>
          <xdr:rowOff>180975</xdr:rowOff>
        </xdr:from>
        <xdr:to>
          <xdr:col>20</xdr:col>
          <xdr:colOff>419100</xdr:colOff>
          <xdr:row>14</xdr:row>
          <xdr:rowOff>19050</xdr:rowOff>
        </xdr:to>
        <xdr:sp macro="" textlink="">
          <xdr:nvSpPr>
            <xdr:cNvPr id="41989" name="Option Button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clientes são segmentados e as necessidades de cada segmento são identificadas formalmente por meio de informações obtidas dos principais grupos de clientes e do ambiente no qual estão inseridos.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114300</xdr:rowOff>
        </xdr:from>
        <xdr:to>
          <xdr:col>20</xdr:col>
          <xdr:colOff>581025</xdr:colOff>
          <xdr:row>26</xdr:row>
          <xdr:rowOff>123825</xdr:rowOff>
        </xdr:to>
        <xdr:sp macro="" textlink="">
          <xdr:nvSpPr>
            <xdr:cNvPr id="42030" name="Group Box 46" hidden="1">
              <a:extLst>
                <a:ext uri="{63B3BB69-23CF-44E3-9099-C40C66FF867C}">
                  <a14:compatExt spid="_x0000_s42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2. Dimensionamento de mercado e preço do produto/serviço.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19</xdr:row>
          <xdr:rowOff>123825</xdr:rowOff>
        </xdr:from>
        <xdr:to>
          <xdr:col>20</xdr:col>
          <xdr:colOff>409575</xdr:colOff>
          <xdr:row>20</xdr:row>
          <xdr:rowOff>152400</xdr:rowOff>
        </xdr:to>
        <xdr:sp macro="" textlink="">
          <xdr:nvSpPr>
            <xdr:cNvPr id="42031" name="Option Button 47" hidden="1">
              <a:extLst>
                <a:ext uri="{63B3BB69-23CF-44E3-9099-C40C66FF867C}">
                  <a14:compatExt spid="_x0000_s42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há dimensionamento do mercado. O preço do produto/serviço não está definido.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21</xdr:row>
          <xdr:rowOff>57150</xdr:rowOff>
        </xdr:from>
        <xdr:to>
          <xdr:col>20</xdr:col>
          <xdr:colOff>409575</xdr:colOff>
          <xdr:row>22</xdr:row>
          <xdr:rowOff>85725</xdr:rowOff>
        </xdr:to>
        <xdr:sp macro="" textlink="">
          <xdr:nvSpPr>
            <xdr:cNvPr id="42032" name="Option Button 48" hidden="1">
              <a:extLst>
                <a:ext uri="{63B3BB69-23CF-44E3-9099-C40C66FF867C}">
                  <a14:compatExt spid="_x0000_s42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há dimensionamento do mercado. O preço do produto/serviço é resultado de um processo informal de definição.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22</xdr:row>
          <xdr:rowOff>180975</xdr:rowOff>
        </xdr:from>
        <xdr:to>
          <xdr:col>20</xdr:col>
          <xdr:colOff>409575</xdr:colOff>
          <xdr:row>24</xdr:row>
          <xdr:rowOff>19050</xdr:rowOff>
        </xdr:to>
        <xdr:sp macro="" textlink="">
          <xdr:nvSpPr>
            <xdr:cNvPr id="42033" name="Option Button 49" hidden="1">
              <a:extLst>
                <a:ext uri="{63B3BB69-23CF-44E3-9099-C40C66FF867C}">
                  <a14:compatExt spid="_x0000_s42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Há dimensionamento do mercado. O preço é resultado de um processo formal de definição.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24</xdr:row>
          <xdr:rowOff>114300</xdr:rowOff>
        </xdr:from>
        <xdr:to>
          <xdr:col>20</xdr:col>
          <xdr:colOff>409575</xdr:colOff>
          <xdr:row>25</xdr:row>
          <xdr:rowOff>142875</xdr:rowOff>
        </xdr:to>
        <xdr:sp macro="" textlink="">
          <xdr:nvSpPr>
            <xdr:cNvPr id="42034" name="Option Button 50" hidden="1">
              <a:extLst>
                <a:ext uri="{63B3BB69-23CF-44E3-9099-C40C66FF867C}">
                  <a14:compatExt spid="_x0000_s42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Há dimensionamento do mercado. O preço é resultado de um processo formal de definição. Além disso, os empreendedores conhecem o potencial financeiro de receitas para cada segmentação de clientes.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95250</xdr:rowOff>
        </xdr:from>
        <xdr:to>
          <xdr:col>20</xdr:col>
          <xdr:colOff>581025</xdr:colOff>
          <xdr:row>38</xdr:row>
          <xdr:rowOff>104775</xdr:rowOff>
        </xdr:to>
        <xdr:sp macro="" textlink="">
          <xdr:nvSpPr>
            <xdr:cNvPr id="42035" name="Group Box 51" hidden="1">
              <a:extLst>
                <a:ext uri="{63B3BB69-23CF-44E3-9099-C40C66FF867C}">
                  <a14:compatExt spid="_x0000_s42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3. Alguma forma de canal é considerada pelos empreendedores no momento da divulgação da proposta de valor do empreendimento e dos produtos/serviços.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31</xdr:row>
          <xdr:rowOff>104775</xdr:rowOff>
        </xdr:from>
        <xdr:to>
          <xdr:col>20</xdr:col>
          <xdr:colOff>409575</xdr:colOff>
          <xdr:row>32</xdr:row>
          <xdr:rowOff>133350</xdr:rowOff>
        </xdr:to>
        <xdr:sp macro="" textlink="">
          <xdr:nvSpPr>
            <xdr:cNvPr id="42036" name="Option Button 52" hidden="1">
              <a:extLst>
                <a:ext uri="{63B3BB69-23CF-44E3-9099-C40C66FF867C}">
                  <a14:compatExt spid="_x0000_s42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proposta de valor do empreendimento e os produtos/serviços não são divulgados.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33</xdr:row>
          <xdr:rowOff>38100</xdr:rowOff>
        </xdr:from>
        <xdr:to>
          <xdr:col>20</xdr:col>
          <xdr:colOff>409575</xdr:colOff>
          <xdr:row>34</xdr:row>
          <xdr:rowOff>66675</xdr:rowOff>
        </xdr:to>
        <xdr:sp macro="" textlink="">
          <xdr:nvSpPr>
            <xdr:cNvPr id="42037" name="Option Button 53" hidden="1">
              <a:extLst>
                <a:ext uri="{63B3BB69-23CF-44E3-9099-C40C66FF867C}">
                  <a14:compatExt spid="_x0000_s42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proposta de valor do empreendimento e os produtos/serviços são divulgados, porém, não consideramos diferentes canais no momento da divulgação.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34</xdr:row>
          <xdr:rowOff>161925</xdr:rowOff>
        </xdr:from>
        <xdr:to>
          <xdr:col>20</xdr:col>
          <xdr:colOff>409575</xdr:colOff>
          <xdr:row>36</xdr:row>
          <xdr:rowOff>0</xdr:rowOff>
        </xdr:to>
        <xdr:sp macro="" textlink="">
          <xdr:nvSpPr>
            <xdr:cNvPr id="42038" name="Option Button 54" hidden="1">
              <a:extLst>
                <a:ext uri="{63B3BB69-23CF-44E3-9099-C40C66FF867C}">
                  <a14:compatExt spid="_x0000_s42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proposta de valor do empreendimento e os produtos/serviços são divulgados. Além disso, consideramos diferentes canais no momento da divulgação.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36</xdr:row>
          <xdr:rowOff>95250</xdr:rowOff>
        </xdr:from>
        <xdr:to>
          <xdr:col>20</xdr:col>
          <xdr:colOff>409575</xdr:colOff>
          <xdr:row>37</xdr:row>
          <xdr:rowOff>123825</xdr:rowOff>
        </xdr:to>
        <xdr:sp macro="" textlink="">
          <xdr:nvSpPr>
            <xdr:cNvPr id="42039" name="Option Button 55" hidden="1">
              <a:extLst>
                <a:ext uri="{63B3BB69-23CF-44E3-9099-C40C66FF867C}">
                  <a14:compatExt spid="_x0000_s42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proposta de valor do empreendimento e os produtos/serviços são divulgados. Consideramos diferentes canais no momento da divulgação. As especificidades de cada segmento de clientes são respeitadas, ou seja, a comunicação é segmentada.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95250</xdr:rowOff>
        </xdr:from>
        <xdr:to>
          <xdr:col>20</xdr:col>
          <xdr:colOff>581025</xdr:colOff>
          <xdr:row>50</xdr:row>
          <xdr:rowOff>104775</xdr:rowOff>
        </xdr:to>
        <xdr:sp macro="" textlink="">
          <xdr:nvSpPr>
            <xdr:cNvPr id="42040" name="Group Box 56" hidden="1">
              <a:extLst>
                <a:ext uri="{63B3BB69-23CF-44E3-9099-C40C66FF867C}">
                  <a14:compatExt spid="_x0000_s42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4. Reclamações dos clientes, quando existem, são registradas e tratadas. [NÃO SE APLICA À MODALIDADE DE PRÉ-INCUBAÇÃO]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43</xdr:row>
          <xdr:rowOff>104775</xdr:rowOff>
        </xdr:from>
        <xdr:to>
          <xdr:col>20</xdr:col>
          <xdr:colOff>409575</xdr:colOff>
          <xdr:row>44</xdr:row>
          <xdr:rowOff>133350</xdr:rowOff>
        </xdr:to>
        <xdr:sp macro="" textlink="">
          <xdr:nvSpPr>
            <xdr:cNvPr id="42041" name="Option Button 57" hidden="1">
              <a:extLst>
                <a:ext uri="{63B3BB69-23CF-44E3-9099-C40C66FF867C}">
                  <a14:compatExt spid="_x0000_s42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disponibilizamos canais para que os clientes apresentem reclamações.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45</xdr:row>
          <xdr:rowOff>38100</xdr:rowOff>
        </xdr:from>
        <xdr:to>
          <xdr:col>20</xdr:col>
          <xdr:colOff>409575</xdr:colOff>
          <xdr:row>46</xdr:row>
          <xdr:rowOff>66675</xdr:rowOff>
        </xdr:to>
        <xdr:sp macro="" textlink="">
          <xdr:nvSpPr>
            <xdr:cNvPr id="42042" name="Option Button 58" hidden="1">
              <a:extLst>
                <a:ext uri="{63B3BB69-23CF-44E3-9099-C40C66FF867C}">
                  <a14:compatExt spid="_x0000_s42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Disponibilizamos canais para que os clientes apresentem reclamações, porém, as reclamações recebidas não são registradas e, quando registradas, são tratadas ocasionalmente.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46</xdr:row>
          <xdr:rowOff>161925</xdr:rowOff>
        </xdr:from>
        <xdr:to>
          <xdr:col>20</xdr:col>
          <xdr:colOff>409575</xdr:colOff>
          <xdr:row>48</xdr:row>
          <xdr:rowOff>0</xdr:rowOff>
        </xdr:to>
        <xdr:sp macro="" textlink="">
          <xdr:nvSpPr>
            <xdr:cNvPr id="42043" name="Option Button 59" hidden="1">
              <a:extLst>
                <a:ext uri="{63B3BB69-23CF-44E3-9099-C40C66FF867C}">
                  <a14:compatExt spid="_x0000_s42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reclamações recebidas são registradas e tratadas regularmente.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48</xdr:row>
          <xdr:rowOff>95250</xdr:rowOff>
        </xdr:from>
        <xdr:to>
          <xdr:col>20</xdr:col>
          <xdr:colOff>409575</xdr:colOff>
          <xdr:row>49</xdr:row>
          <xdr:rowOff>123825</xdr:rowOff>
        </xdr:to>
        <xdr:sp macro="" textlink="">
          <xdr:nvSpPr>
            <xdr:cNvPr id="42044" name="Option Button 60" hidden="1">
              <a:extLst>
                <a:ext uri="{63B3BB69-23CF-44E3-9099-C40C66FF867C}">
                  <a14:compatExt spid="_x0000_s42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reclamações recebidas são registradas e tratadas regularmente e contribuem para a melhoria da oferta dos produtos/serviços. Além disso, o cliente é informado da solução dada à sua reclamação.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114300</xdr:rowOff>
        </xdr:from>
        <xdr:to>
          <xdr:col>20</xdr:col>
          <xdr:colOff>581025</xdr:colOff>
          <xdr:row>62</xdr:row>
          <xdr:rowOff>123825</xdr:rowOff>
        </xdr:to>
        <xdr:sp macro="" textlink="">
          <xdr:nvSpPr>
            <xdr:cNvPr id="42050" name="Group Box 66" hidden="1">
              <a:extLst>
                <a:ext uri="{63B3BB69-23CF-44E3-9099-C40C66FF867C}">
                  <a14:compatExt spid="_x0000_s4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5. As informações obtidas, para cada segmentação de clientes, são utilizadas para intensificar a fidelização, a captação de novos clientes e o estabelecimento de relacionamentos efetivos. [NÃO SE APLICA À MODALIDADE DE PRÉ-INCUBAÇÃO]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55</xdr:row>
          <xdr:rowOff>123825</xdr:rowOff>
        </xdr:from>
        <xdr:to>
          <xdr:col>20</xdr:col>
          <xdr:colOff>409575</xdr:colOff>
          <xdr:row>56</xdr:row>
          <xdr:rowOff>152400</xdr:rowOff>
        </xdr:to>
        <xdr:sp macro="" textlink="">
          <xdr:nvSpPr>
            <xdr:cNvPr id="42051" name="Option Button 67" hidden="1">
              <a:extLst>
                <a:ext uri="{63B3BB69-23CF-44E3-9099-C40C66FF867C}">
                  <a14:compatExt spid="_x0000_s4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informações obtidas, para cada segmentação de clientes, não são analisadas.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57</xdr:row>
          <xdr:rowOff>57150</xdr:rowOff>
        </xdr:from>
        <xdr:to>
          <xdr:col>20</xdr:col>
          <xdr:colOff>409575</xdr:colOff>
          <xdr:row>58</xdr:row>
          <xdr:rowOff>85725</xdr:rowOff>
        </xdr:to>
        <xdr:sp macro="" textlink="">
          <xdr:nvSpPr>
            <xdr:cNvPr id="42052" name="Option Button 68" hidden="1">
              <a:extLst>
                <a:ext uri="{63B3BB69-23CF-44E3-9099-C40C66FF867C}">
                  <a14:compatExt spid="_x0000_s4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informações obtidas, para cada segmentação de clientes, são analisadas ocasionalmente.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58</xdr:row>
          <xdr:rowOff>180975</xdr:rowOff>
        </xdr:from>
        <xdr:to>
          <xdr:col>20</xdr:col>
          <xdr:colOff>409575</xdr:colOff>
          <xdr:row>60</xdr:row>
          <xdr:rowOff>19050</xdr:rowOff>
        </xdr:to>
        <xdr:sp macro="" textlink="">
          <xdr:nvSpPr>
            <xdr:cNvPr id="42053" name="Option Button 69" hidden="1">
              <a:extLst>
                <a:ext uri="{63B3BB69-23CF-44E3-9099-C40C66FF867C}">
                  <a14:compatExt spid="_x0000_s4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informações obtidas, para cada segmentação de clientes, são analisadas e utilizadas regularmente.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60</xdr:row>
          <xdr:rowOff>114300</xdr:rowOff>
        </xdr:from>
        <xdr:to>
          <xdr:col>20</xdr:col>
          <xdr:colOff>409575</xdr:colOff>
          <xdr:row>61</xdr:row>
          <xdr:rowOff>142875</xdr:rowOff>
        </xdr:to>
        <xdr:sp macro="" textlink="">
          <xdr:nvSpPr>
            <xdr:cNvPr id="42054" name="Option Button 70" hidden="1">
              <a:extLst>
                <a:ext uri="{63B3BB69-23CF-44E3-9099-C40C66FF867C}">
                  <a14:compatExt spid="_x0000_s4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informações obtidas, para cada segmentação de clientes, são analisadas e utilizadas regularmente. Além disso, possibilita intensificar a fidelização, captação de novos e o estabelecimento de relacionamentos efetivos.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114300</xdr:rowOff>
        </xdr:from>
        <xdr:to>
          <xdr:col>20</xdr:col>
          <xdr:colOff>590550</xdr:colOff>
          <xdr:row>74</xdr:row>
          <xdr:rowOff>123825</xdr:rowOff>
        </xdr:to>
        <xdr:sp macro="" textlink="">
          <xdr:nvSpPr>
            <xdr:cNvPr id="42055" name="Group Box 71" hidden="1">
              <a:extLst>
                <a:ext uri="{63B3BB69-23CF-44E3-9099-C40C66FF867C}">
                  <a14:compatExt spid="_x0000_s4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6. O cadastro de clientes respeita uma segmentação e está devidamente atualizado. [NÃO SE APLICA À MODALIDADE DE PRÉ-INCUBAÇÃO]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67</xdr:row>
          <xdr:rowOff>123825</xdr:rowOff>
        </xdr:from>
        <xdr:to>
          <xdr:col>20</xdr:col>
          <xdr:colOff>419100</xdr:colOff>
          <xdr:row>68</xdr:row>
          <xdr:rowOff>152400</xdr:rowOff>
        </xdr:to>
        <xdr:sp macro="" textlink="">
          <xdr:nvSpPr>
            <xdr:cNvPr id="42056" name="Option Button 72" hidden="1">
              <a:extLst>
                <a:ext uri="{63B3BB69-23CF-44E3-9099-C40C66FF867C}">
                  <a14:compatExt spid="_x0000_s4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há cadastro de clientes.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69</xdr:row>
          <xdr:rowOff>57150</xdr:rowOff>
        </xdr:from>
        <xdr:to>
          <xdr:col>20</xdr:col>
          <xdr:colOff>419100</xdr:colOff>
          <xdr:row>70</xdr:row>
          <xdr:rowOff>85725</xdr:rowOff>
        </xdr:to>
        <xdr:sp macro="" textlink="">
          <xdr:nvSpPr>
            <xdr:cNvPr id="42057" name="Option Button 73" hidden="1">
              <a:extLst>
                <a:ext uri="{63B3BB69-23CF-44E3-9099-C40C66FF867C}">
                  <a14:compatExt spid="_x0000_s4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Há cadastro de clientes, porém, desatualizado.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70</xdr:row>
          <xdr:rowOff>180975</xdr:rowOff>
        </xdr:from>
        <xdr:to>
          <xdr:col>20</xdr:col>
          <xdr:colOff>419100</xdr:colOff>
          <xdr:row>72</xdr:row>
          <xdr:rowOff>19050</xdr:rowOff>
        </xdr:to>
        <xdr:sp macro="" textlink="">
          <xdr:nvSpPr>
            <xdr:cNvPr id="42058" name="Option Button 74" hidden="1">
              <a:extLst>
                <a:ext uri="{63B3BB69-23CF-44E3-9099-C40C66FF867C}">
                  <a14:compatExt spid="_x0000_s4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Há cadastro de clientes atualizado, porém, não segmentado.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72</xdr:row>
          <xdr:rowOff>114300</xdr:rowOff>
        </xdr:from>
        <xdr:to>
          <xdr:col>20</xdr:col>
          <xdr:colOff>419100</xdr:colOff>
          <xdr:row>73</xdr:row>
          <xdr:rowOff>142875</xdr:rowOff>
        </xdr:to>
        <xdr:sp macro="" textlink="">
          <xdr:nvSpPr>
            <xdr:cNvPr id="42059" name="Option Button 75" hidden="1">
              <a:extLst>
                <a:ext uri="{63B3BB69-23CF-44E3-9099-C40C66FF867C}">
                  <a14:compatExt spid="_x0000_s4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Há cadastro de clientes atualizado e segmentado.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78</xdr:row>
          <xdr:rowOff>85725</xdr:rowOff>
        </xdr:from>
        <xdr:to>
          <xdr:col>20</xdr:col>
          <xdr:colOff>571500</xdr:colOff>
          <xdr:row>86</xdr:row>
          <xdr:rowOff>95250</xdr:rowOff>
        </xdr:to>
        <xdr:sp macro="" textlink="">
          <xdr:nvSpPr>
            <xdr:cNvPr id="42060" name="Group Box 76" hidden="1">
              <a:extLst>
                <a:ext uri="{63B3BB69-23CF-44E3-9099-C40C66FF867C}">
                  <a14:compatExt spid="_x0000_s4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7. Realiza ações para prospecção de clientes em potencial. Além disso, participa de eventos ou outras ações que oportunizam acesso a novos mercados.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79</xdr:row>
          <xdr:rowOff>95250</xdr:rowOff>
        </xdr:from>
        <xdr:to>
          <xdr:col>20</xdr:col>
          <xdr:colOff>400050</xdr:colOff>
          <xdr:row>80</xdr:row>
          <xdr:rowOff>123825</xdr:rowOff>
        </xdr:to>
        <xdr:sp macro="" textlink="">
          <xdr:nvSpPr>
            <xdr:cNvPr id="42061" name="Option Button 77" hidden="1">
              <a:extLst>
                <a:ext uri="{63B3BB69-23CF-44E3-9099-C40C66FF867C}">
                  <a14:compatExt spid="_x0000_s4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Ações de prospecção para identifcação de novas oportunidades de negócio não são realizadas. Além disso, os empreendedores não participam de eventos ou outras ações que oportunizam acesso a novos mercados.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81</xdr:row>
          <xdr:rowOff>28575</xdr:rowOff>
        </xdr:from>
        <xdr:to>
          <xdr:col>20</xdr:col>
          <xdr:colOff>400050</xdr:colOff>
          <xdr:row>82</xdr:row>
          <xdr:rowOff>57150</xdr:rowOff>
        </xdr:to>
        <xdr:sp macro="" textlink="">
          <xdr:nvSpPr>
            <xdr:cNvPr id="42062" name="Option Button 78" hidden="1">
              <a:extLst>
                <a:ext uri="{63B3BB69-23CF-44E3-9099-C40C66FF867C}">
                  <a14:compatExt spid="_x0000_s4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Poucas ações (&lt;=3 / ano) de prospecção são realizadas. Além disso, os empreendedores participam pouco de eventos ou outras ações que oportunizam acesso a novos mercados.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82</xdr:row>
          <xdr:rowOff>152400</xdr:rowOff>
        </xdr:from>
        <xdr:to>
          <xdr:col>20</xdr:col>
          <xdr:colOff>400050</xdr:colOff>
          <xdr:row>83</xdr:row>
          <xdr:rowOff>180975</xdr:rowOff>
        </xdr:to>
        <xdr:sp macro="" textlink="">
          <xdr:nvSpPr>
            <xdr:cNvPr id="42063" name="Option Button 79" hidden="1">
              <a:extLst>
                <a:ext uri="{63B3BB69-23CF-44E3-9099-C40C66FF867C}">
                  <a14:compatExt spid="_x0000_s4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Muitas ações (&lt;=6 / ano) de prospecção são realizadas. Além disso, os empreendedores participam muitas vezes de eventos ou outras ações que oportunizam acesso a novos mercados.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84</xdr:row>
          <xdr:rowOff>85725</xdr:rowOff>
        </xdr:from>
        <xdr:to>
          <xdr:col>20</xdr:col>
          <xdr:colOff>400050</xdr:colOff>
          <xdr:row>85</xdr:row>
          <xdr:rowOff>114300</xdr:rowOff>
        </xdr:to>
        <xdr:sp macro="" textlink="">
          <xdr:nvSpPr>
            <xdr:cNvPr id="42064" name="Option Button 80" hidden="1">
              <a:extLst>
                <a:ext uri="{63B3BB69-23CF-44E3-9099-C40C66FF867C}">
                  <a14:compatExt spid="_x0000_s4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Várias ações (&gt;=7 / ano) de prospecção são realizadas. Além disso, os empreendedores participam várias vezes de eventos ou outras ações que oportunizam acesso a novos mercados.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90</xdr:row>
          <xdr:rowOff>104775</xdr:rowOff>
        </xdr:from>
        <xdr:to>
          <xdr:col>20</xdr:col>
          <xdr:colOff>581025</xdr:colOff>
          <xdr:row>98</xdr:row>
          <xdr:rowOff>114300</xdr:rowOff>
        </xdr:to>
        <xdr:sp macro="" textlink="">
          <xdr:nvSpPr>
            <xdr:cNvPr id="42065" name="Group Box 81" hidden="1">
              <a:extLst>
                <a:ext uri="{63B3BB69-23CF-44E3-9099-C40C66FF867C}">
                  <a14:compatExt spid="_x0000_s4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8. A busca de informações para conhecer a dinâmica do mercado de atuação do empreendimento e identificar oportunidades de inovação incluem fontes externas.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91</xdr:row>
          <xdr:rowOff>114300</xdr:rowOff>
        </xdr:from>
        <xdr:to>
          <xdr:col>20</xdr:col>
          <xdr:colOff>409575</xdr:colOff>
          <xdr:row>92</xdr:row>
          <xdr:rowOff>142875</xdr:rowOff>
        </xdr:to>
        <xdr:sp macro="" textlink="">
          <xdr:nvSpPr>
            <xdr:cNvPr id="42066" name="Option Button 82" hidden="1">
              <a:extLst>
                <a:ext uri="{63B3BB69-23CF-44E3-9099-C40C66FF867C}">
                  <a14:compatExt spid="_x0000_s4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são buscadas informações externas para conhecer a dinâmica do mercado.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93</xdr:row>
          <xdr:rowOff>47625</xdr:rowOff>
        </xdr:from>
        <xdr:to>
          <xdr:col>20</xdr:col>
          <xdr:colOff>409575</xdr:colOff>
          <xdr:row>94</xdr:row>
          <xdr:rowOff>76200</xdr:rowOff>
        </xdr:to>
        <xdr:sp macro="" textlink="">
          <xdr:nvSpPr>
            <xdr:cNvPr id="42067" name="Option Button 83" hidden="1">
              <a:extLst>
                <a:ext uri="{63B3BB69-23CF-44E3-9099-C40C66FF867C}">
                  <a14:compatExt spid="_x0000_s4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Eventualmente são buscadas informações externas para conhecer a dinâmica do mercado.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94</xdr:row>
          <xdr:rowOff>171450</xdr:rowOff>
        </xdr:from>
        <xdr:to>
          <xdr:col>20</xdr:col>
          <xdr:colOff>409575</xdr:colOff>
          <xdr:row>96</xdr:row>
          <xdr:rowOff>9525</xdr:rowOff>
        </xdr:to>
        <xdr:sp macro="" textlink="">
          <xdr:nvSpPr>
            <xdr:cNvPr id="42068" name="Option Button 84" hidden="1">
              <a:extLst>
                <a:ext uri="{63B3BB69-23CF-44E3-9099-C40C66FF867C}">
                  <a14:compatExt spid="_x0000_s4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Constantemente são buscadas informações externas para conhecer a dinâmica do mercado, porém, não oportunizam a identificação de novas oportunidades de inovação.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96</xdr:row>
          <xdr:rowOff>104775</xdr:rowOff>
        </xdr:from>
        <xdr:to>
          <xdr:col>20</xdr:col>
          <xdr:colOff>409575</xdr:colOff>
          <xdr:row>97</xdr:row>
          <xdr:rowOff>133350</xdr:rowOff>
        </xdr:to>
        <xdr:sp macro="" textlink="">
          <xdr:nvSpPr>
            <xdr:cNvPr id="42069" name="Option Button 85" hidden="1">
              <a:extLst>
                <a:ext uri="{63B3BB69-23CF-44E3-9099-C40C66FF867C}">
                  <a14:compatExt spid="_x0000_s4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Constantemente são buscadas informações externas para conhecer a dinâmica do mercado. Além disso, oportunizam a identificação de novas oportunidades de inovação.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102</xdr:row>
          <xdr:rowOff>104775</xdr:rowOff>
        </xdr:from>
        <xdr:to>
          <xdr:col>20</xdr:col>
          <xdr:colOff>590550</xdr:colOff>
          <xdr:row>110</xdr:row>
          <xdr:rowOff>114300</xdr:rowOff>
        </xdr:to>
        <xdr:sp macro="" textlink="">
          <xdr:nvSpPr>
            <xdr:cNvPr id="42070" name="Group Box 86" hidden="1">
              <a:extLst>
                <a:ext uri="{63B3BB69-23CF-44E3-9099-C40C66FF867C}">
                  <a14:compatExt spid="_x0000_s4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9. Estratégias de internacionalização.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103</xdr:row>
          <xdr:rowOff>114300</xdr:rowOff>
        </xdr:from>
        <xdr:to>
          <xdr:col>20</xdr:col>
          <xdr:colOff>419100</xdr:colOff>
          <xdr:row>104</xdr:row>
          <xdr:rowOff>142875</xdr:rowOff>
        </xdr:to>
        <xdr:sp macro="" textlink="">
          <xdr:nvSpPr>
            <xdr:cNvPr id="42071" name="Option Button 87" hidden="1">
              <a:extLst>
                <a:ext uri="{63B3BB69-23CF-44E3-9099-C40C66FF867C}">
                  <a14:compatExt spid="_x0000_s4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Nosso foco é o mercado interno. Não conhecemos as oportunidades externas de negócio e, por esse motivo, as estratégias de internacionalização não estão definidas.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105</xdr:row>
          <xdr:rowOff>47625</xdr:rowOff>
        </xdr:from>
        <xdr:to>
          <xdr:col>20</xdr:col>
          <xdr:colOff>419100</xdr:colOff>
          <xdr:row>106</xdr:row>
          <xdr:rowOff>76200</xdr:rowOff>
        </xdr:to>
        <xdr:sp macro="" textlink="">
          <xdr:nvSpPr>
            <xdr:cNvPr id="42072" name="Option Button 88" hidden="1">
              <a:extLst>
                <a:ext uri="{63B3BB69-23CF-44E3-9099-C40C66FF867C}">
                  <a14:compatExt spid="_x0000_s4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Nosso foco é o mercado interno. Conhecemos as oportunidades externas de negócio, porém, as estratégias de internacionalização não estão definidas.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106</xdr:row>
          <xdr:rowOff>171450</xdr:rowOff>
        </xdr:from>
        <xdr:to>
          <xdr:col>20</xdr:col>
          <xdr:colOff>419100</xdr:colOff>
          <xdr:row>108</xdr:row>
          <xdr:rowOff>9525</xdr:rowOff>
        </xdr:to>
        <xdr:sp macro="" textlink="">
          <xdr:nvSpPr>
            <xdr:cNvPr id="42073" name="Option Button 89" hidden="1">
              <a:extLst>
                <a:ext uri="{63B3BB69-23CF-44E3-9099-C40C66FF867C}">
                  <a14:compatExt spid="_x0000_s4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Nosso foco é o mercado interno. Conhecemos as oportunidades externas de negócio e, além disso, as estratégias de internacionalização estão sendo definidas, porém, informalmente.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108</xdr:row>
          <xdr:rowOff>104775</xdr:rowOff>
        </xdr:from>
        <xdr:to>
          <xdr:col>20</xdr:col>
          <xdr:colOff>419100</xdr:colOff>
          <xdr:row>109</xdr:row>
          <xdr:rowOff>133350</xdr:rowOff>
        </xdr:to>
        <xdr:sp macro="" textlink="">
          <xdr:nvSpPr>
            <xdr:cNvPr id="42074" name="Option Button 90" hidden="1">
              <a:extLst>
                <a:ext uri="{63B3BB69-23CF-44E3-9099-C40C66FF867C}">
                  <a14:compatExt spid="_x0000_s4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Nosso foco é o mercado interno e externo. Além disso, as estratégias de internacionalização estão sendo formalmente definidas.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114</xdr:row>
          <xdr:rowOff>85725</xdr:rowOff>
        </xdr:from>
        <xdr:to>
          <xdr:col>20</xdr:col>
          <xdr:colOff>590550</xdr:colOff>
          <xdr:row>122</xdr:row>
          <xdr:rowOff>95250</xdr:rowOff>
        </xdr:to>
        <xdr:sp macro="" textlink="">
          <xdr:nvSpPr>
            <xdr:cNvPr id="42075" name="Group Box 91" hidden="1">
              <a:extLst>
                <a:ext uri="{63B3BB69-23CF-44E3-9099-C40C66FF867C}">
                  <a14:compatExt spid="_x0000_s4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10. Desempenho das vendas. [NÃO SE APLICA À MODALIDADE DE PRÉ-INCUBAÇÃO]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115</xdr:row>
          <xdr:rowOff>95250</xdr:rowOff>
        </xdr:from>
        <xdr:to>
          <xdr:col>20</xdr:col>
          <xdr:colOff>419100</xdr:colOff>
          <xdr:row>116</xdr:row>
          <xdr:rowOff>123825</xdr:rowOff>
        </xdr:to>
        <xdr:sp macro="" textlink="">
          <xdr:nvSpPr>
            <xdr:cNvPr id="42076" name="Option Button 92" hidden="1">
              <a:extLst>
                <a:ext uri="{63B3BB69-23CF-44E3-9099-C40C66FF867C}">
                  <a14:compatExt spid="_x0000_s4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desempenho das vendas de produtos/serviços não é acompanhado.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117</xdr:row>
          <xdr:rowOff>28575</xdr:rowOff>
        </xdr:from>
        <xdr:to>
          <xdr:col>20</xdr:col>
          <xdr:colOff>419100</xdr:colOff>
          <xdr:row>118</xdr:row>
          <xdr:rowOff>57150</xdr:rowOff>
        </xdr:to>
        <xdr:sp macro="" textlink="">
          <xdr:nvSpPr>
            <xdr:cNvPr id="42077" name="Option Button 93" hidden="1">
              <a:extLst>
                <a:ext uri="{63B3BB69-23CF-44E3-9099-C40C66FF867C}">
                  <a14:compatExt spid="_x0000_s4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desempenho das vendas de produtos/serviços é acompanhado, porém, as metas não estão estabelecidas.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118</xdr:row>
          <xdr:rowOff>152400</xdr:rowOff>
        </xdr:from>
        <xdr:to>
          <xdr:col>20</xdr:col>
          <xdr:colOff>419100</xdr:colOff>
          <xdr:row>119</xdr:row>
          <xdr:rowOff>180975</xdr:rowOff>
        </xdr:to>
        <xdr:sp macro="" textlink="">
          <xdr:nvSpPr>
            <xdr:cNvPr id="42078" name="Option Button 94" hidden="1">
              <a:extLst>
                <a:ext uri="{63B3BB69-23CF-44E3-9099-C40C66FF867C}">
                  <a14:compatExt spid="_x0000_s4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desempenho das vendas de produtos/serviços é acompanhado e metas de desempenho estão estabelecidas como parte de um processo informal de definição de metas.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120</xdr:row>
          <xdr:rowOff>85725</xdr:rowOff>
        </xdr:from>
        <xdr:to>
          <xdr:col>20</xdr:col>
          <xdr:colOff>419100</xdr:colOff>
          <xdr:row>121</xdr:row>
          <xdr:rowOff>114300</xdr:rowOff>
        </xdr:to>
        <xdr:sp macro="" textlink="">
          <xdr:nvSpPr>
            <xdr:cNvPr id="42079" name="Option Button 95" hidden="1">
              <a:extLst>
                <a:ext uri="{63B3BB69-23CF-44E3-9099-C40C66FF867C}">
                  <a14:compatExt spid="_x0000_s4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desempenho das vendas de produtos/serviços é acompanhado e metas de desempenho estão estabelecidas como parte de um processo formal de definição de metas.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126</xdr:row>
          <xdr:rowOff>114300</xdr:rowOff>
        </xdr:from>
        <xdr:to>
          <xdr:col>20</xdr:col>
          <xdr:colOff>590550</xdr:colOff>
          <xdr:row>134</xdr:row>
          <xdr:rowOff>123825</xdr:rowOff>
        </xdr:to>
        <xdr:sp macro="" textlink="">
          <xdr:nvSpPr>
            <xdr:cNvPr id="42085" name="Group Box 101" hidden="1">
              <a:extLst>
                <a:ext uri="{63B3BB69-23CF-44E3-9099-C40C66FF867C}">
                  <a14:compatExt spid="_x0000_s4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11. Pós-Venda. [NÃO SE APLICA À MODALIDADE DE PRÉ-INCUBAÇÃO]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127</xdr:row>
          <xdr:rowOff>123825</xdr:rowOff>
        </xdr:from>
        <xdr:to>
          <xdr:col>20</xdr:col>
          <xdr:colOff>419100</xdr:colOff>
          <xdr:row>128</xdr:row>
          <xdr:rowOff>152400</xdr:rowOff>
        </xdr:to>
        <xdr:sp macro="" textlink="">
          <xdr:nvSpPr>
            <xdr:cNvPr id="42086" name="Option Button 102" hidden="1">
              <a:extLst>
                <a:ext uri="{63B3BB69-23CF-44E3-9099-C40C66FF867C}">
                  <a14:compatExt spid="_x0000_s4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 existe pós venda.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129</xdr:row>
          <xdr:rowOff>57150</xdr:rowOff>
        </xdr:from>
        <xdr:to>
          <xdr:col>20</xdr:col>
          <xdr:colOff>419100</xdr:colOff>
          <xdr:row>130</xdr:row>
          <xdr:rowOff>85725</xdr:rowOff>
        </xdr:to>
        <xdr:sp macro="" textlink="">
          <xdr:nvSpPr>
            <xdr:cNvPr id="42087" name="Option Button 103" hidden="1">
              <a:extLst>
                <a:ext uri="{63B3BB69-23CF-44E3-9099-C40C66FF867C}">
                  <a14:compatExt spid="_x0000_s4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 pós-venda é realizada, porém, de informalmente.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130</xdr:row>
          <xdr:rowOff>180975</xdr:rowOff>
        </xdr:from>
        <xdr:to>
          <xdr:col>20</xdr:col>
          <xdr:colOff>419100</xdr:colOff>
          <xdr:row>132</xdr:row>
          <xdr:rowOff>19050</xdr:rowOff>
        </xdr:to>
        <xdr:sp macro="" textlink="">
          <xdr:nvSpPr>
            <xdr:cNvPr id="42088" name="Option Button 104" hidden="1">
              <a:extLst>
                <a:ext uri="{63B3BB69-23CF-44E3-9099-C40C66FF867C}">
                  <a14:compatExt spid="_x0000_s42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 pós-venda é realizada, porém, não considera os principais segmentos de clientes do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132</xdr:row>
          <xdr:rowOff>114300</xdr:rowOff>
        </xdr:from>
        <xdr:to>
          <xdr:col>20</xdr:col>
          <xdr:colOff>419100</xdr:colOff>
          <xdr:row>133</xdr:row>
          <xdr:rowOff>142875</xdr:rowOff>
        </xdr:to>
        <xdr:sp macro="" textlink="">
          <xdr:nvSpPr>
            <xdr:cNvPr id="42089" name="Option Button 105" hidden="1">
              <a:extLst>
                <a:ext uri="{63B3BB69-23CF-44E3-9099-C40C66FF867C}">
                  <a14:compatExt spid="_x0000_s4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pós venda é realizada e considera os principais segmentos de clientes do empreendimento.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138</xdr:row>
          <xdr:rowOff>95250</xdr:rowOff>
        </xdr:from>
        <xdr:to>
          <xdr:col>20</xdr:col>
          <xdr:colOff>590550</xdr:colOff>
          <xdr:row>146</xdr:row>
          <xdr:rowOff>104775</xdr:rowOff>
        </xdr:to>
        <xdr:sp macro="" textlink="">
          <xdr:nvSpPr>
            <xdr:cNvPr id="42090" name="Group Box 106" hidden="1">
              <a:extLst>
                <a:ext uri="{63B3BB69-23CF-44E3-9099-C40C66FF867C}">
                  <a14:compatExt spid="_x0000_s42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12. Identidade visual. [NÃO SE APLICA À MODALIDADE DE PRÉ-INCUBAÇÃO]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139</xdr:row>
          <xdr:rowOff>104775</xdr:rowOff>
        </xdr:from>
        <xdr:to>
          <xdr:col>20</xdr:col>
          <xdr:colOff>419100</xdr:colOff>
          <xdr:row>140</xdr:row>
          <xdr:rowOff>133350</xdr:rowOff>
        </xdr:to>
        <xdr:sp macro="" textlink="">
          <xdr:nvSpPr>
            <xdr:cNvPr id="42091" name="Option Button 107" hidden="1">
              <a:extLst>
                <a:ext uri="{63B3BB69-23CF-44E3-9099-C40C66FF867C}">
                  <a14:compatExt spid="_x0000_s42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identidade visual do empreendimento não está definida.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141</xdr:row>
          <xdr:rowOff>38100</xdr:rowOff>
        </xdr:from>
        <xdr:to>
          <xdr:col>20</xdr:col>
          <xdr:colOff>419100</xdr:colOff>
          <xdr:row>142</xdr:row>
          <xdr:rowOff>66675</xdr:rowOff>
        </xdr:to>
        <xdr:sp macro="" textlink="">
          <xdr:nvSpPr>
            <xdr:cNvPr id="42092" name="Option Button 108" hidden="1">
              <a:extLst>
                <a:ext uri="{63B3BB69-23CF-44E3-9099-C40C66FF867C}">
                  <a14:compatExt spid="_x0000_s42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identidade visual está definida, porém, precisa ser revista para considerar a proposta de valor e a estratégia de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142</xdr:row>
          <xdr:rowOff>161925</xdr:rowOff>
        </xdr:from>
        <xdr:to>
          <xdr:col>20</xdr:col>
          <xdr:colOff>419100</xdr:colOff>
          <xdr:row>144</xdr:row>
          <xdr:rowOff>0</xdr:rowOff>
        </xdr:to>
        <xdr:sp macro="" textlink="">
          <xdr:nvSpPr>
            <xdr:cNvPr id="42093" name="Option Button 109" hidden="1">
              <a:extLst>
                <a:ext uri="{63B3BB69-23CF-44E3-9099-C40C66FF867C}">
                  <a14:compatExt spid="_x0000_s42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identidade visual está definida e considera a proposta de valor e a estratégia de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144</xdr:row>
          <xdr:rowOff>95250</xdr:rowOff>
        </xdr:from>
        <xdr:to>
          <xdr:col>20</xdr:col>
          <xdr:colOff>419100</xdr:colOff>
          <xdr:row>145</xdr:row>
          <xdr:rowOff>123825</xdr:rowOff>
        </xdr:to>
        <xdr:sp macro="" textlink="">
          <xdr:nvSpPr>
            <xdr:cNvPr id="42094" name="Option Button 110" hidden="1">
              <a:extLst>
                <a:ext uri="{63B3BB69-23CF-44E3-9099-C40C66FF867C}">
                  <a14:compatExt spid="_x0000_s4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identidade visual está definida e considera a proposta de valor e a estratégia de negócios. Além disso, respeita os diferentes segmentos de atuação e as especificidades dos canais de comunicação.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419100</xdr:colOff>
      <xdr:row>114</xdr:row>
      <xdr:rowOff>76200</xdr:rowOff>
    </xdr:from>
    <xdr:to>
      <xdr:col>21</xdr:col>
      <xdr:colOff>10353</xdr:colOff>
      <xdr:row>117</xdr:row>
      <xdr:rowOff>83655</xdr:rowOff>
    </xdr:to>
    <xdr:sp macro="[0]!irparamenu" textlink="">
      <xdr:nvSpPr>
        <xdr:cNvPr id="4" name="CaixaDeTexto 3"/>
        <xdr:cNvSpPr txBox="1"/>
      </xdr:nvSpPr>
      <xdr:spPr>
        <a:xfrm>
          <a:off x="10287000" y="22955250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181705</xdr:colOff>
      <xdr:row>1</xdr:row>
      <xdr:rowOff>203940</xdr:rowOff>
    </xdr:to>
    <xdr:pic>
      <xdr:nvPicPr>
        <xdr:cNvPr id="5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1925" y="47625"/>
          <a:ext cx="1962880" cy="442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180975</xdr:rowOff>
        </xdr:from>
        <xdr:to>
          <xdr:col>20</xdr:col>
          <xdr:colOff>590550</xdr:colOff>
          <xdr:row>14</xdr:row>
          <xdr:rowOff>104775</xdr:rowOff>
        </xdr:to>
        <xdr:sp macro="" textlink="">
          <xdr:nvSpPr>
            <xdr:cNvPr id="25601" name="Group Box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1. O empreendimento está legalmente constituído. Além disso, as exigências legais, necessárias para o funcionamento do empreendimento, são conhecidas e mantidas atualizadas. [NÃO SE APLICA À MODALIDADE DE PRÉ-INCUBAÇÃO]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</xdr:row>
          <xdr:rowOff>0</xdr:rowOff>
        </xdr:from>
        <xdr:to>
          <xdr:col>20</xdr:col>
          <xdr:colOff>419100</xdr:colOff>
          <xdr:row>9</xdr:row>
          <xdr:rowOff>28575</xdr:rowOff>
        </xdr:to>
        <xdr:sp macro="" textlink="">
          <xdr:nvSpPr>
            <xdr:cNvPr id="25602" name="Option 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empreendimento não está legalmente constituído. Além disso, as exigências legais aplicáveis não são conhecidas.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</xdr:row>
          <xdr:rowOff>123825</xdr:rowOff>
        </xdr:from>
        <xdr:to>
          <xdr:col>20</xdr:col>
          <xdr:colOff>419100</xdr:colOff>
          <xdr:row>10</xdr:row>
          <xdr:rowOff>152400</xdr:rowOff>
        </xdr:to>
        <xdr:sp macro="" textlink="">
          <xdr:nvSpPr>
            <xdr:cNvPr id="25603" name="Option 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empreendimento está próximo de se tornar legalmente constituído. Além disso, algumas exigências legais aplicáveis são conhecidas, porém, não são mantidas atualizadas.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</xdr:row>
          <xdr:rowOff>57150</xdr:rowOff>
        </xdr:from>
        <xdr:to>
          <xdr:col>20</xdr:col>
          <xdr:colOff>419100</xdr:colOff>
          <xdr:row>12</xdr:row>
          <xdr:rowOff>85725</xdr:rowOff>
        </xdr:to>
        <xdr:sp macro="" textlink="">
          <xdr:nvSpPr>
            <xdr:cNvPr id="25604" name="Option 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empreendimento está legalmente constituído. Além disso, as exigências legais aplicáveis são conhecidas, porém, não são mantidas atualizadas.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12</xdr:row>
          <xdr:rowOff>180975</xdr:rowOff>
        </xdr:from>
        <xdr:to>
          <xdr:col>20</xdr:col>
          <xdr:colOff>419100</xdr:colOff>
          <xdr:row>14</xdr:row>
          <xdr:rowOff>19050</xdr:rowOff>
        </xdr:to>
        <xdr:sp macro="" textlink="">
          <xdr:nvSpPr>
            <xdr:cNvPr id="25605" name="Option 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empreendimento está legalmente constituído. Além disso, as exigências legais aplicáveis são conhecidas e mantidas atualizadas.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18</xdr:row>
          <xdr:rowOff>104775</xdr:rowOff>
        </xdr:from>
        <xdr:to>
          <xdr:col>20</xdr:col>
          <xdr:colOff>581025</xdr:colOff>
          <xdr:row>26</xdr:row>
          <xdr:rowOff>114300</xdr:rowOff>
        </xdr:to>
        <xdr:sp macro="" textlink="">
          <xdr:nvSpPr>
            <xdr:cNvPr id="25781" name="Group Box 181" hidden="1">
              <a:extLst>
                <a:ext uri="{63B3BB69-23CF-44E3-9099-C40C66FF867C}">
                  <a14:compatExt spid="_x0000_s25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2. Os possíveis impactos negativos causados pelo empreendimento são conhecidos e tratados.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19</xdr:row>
          <xdr:rowOff>114300</xdr:rowOff>
        </xdr:from>
        <xdr:to>
          <xdr:col>20</xdr:col>
          <xdr:colOff>409575</xdr:colOff>
          <xdr:row>20</xdr:row>
          <xdr:rowOff>142875</xdr:rowOff>
        </xdr:to>
        <xdr:sp macro="" textlink="">
          <xdr:nvSpPr>
            <xdr:cNvPr id="25782" name="Option Button 182" hidden="1">
              <a:extLst>
                <a:ext uri="{63B3BB69-23CF-44E3-9099-C40C66FF867C}">
                  <a14:compatExt spid="_x0000_s25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impactos negativos causados pelo empreendimento não são conhecidos e nem tratados.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21</xdr:row>
          <xdr:rowOff>47625</xdr:rowOff>
        </xdr:from>
        <xdr:to>
          <xdr:col>20</xdr:col>
          <xdr:colOff>409575</xdr:colOff>
          <xdr:row>22</xdr:row>
          <xdr:rowOff>76200</xdr:rowOff>
        </xdr:to>
        <xdr:sp macro="" textlink="">
          <xdr:nvSpPr>
            <xdr:cNvPr id="25783" name="Option Button 183" hidden="1">
              <a:extLst>
                <a:ext uri="{63B3BB69-23CF-44E3-9099-C40C66FF867C}">
                  <a14:compatExt spid="_x0000_s25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impactos negativos causados pelo empreendimento não são conhecidos, mas algumas ações são adotadas e podem evitar prejuízos relacionados no momento da operação.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22</xdr:row>
          <xdr:rowOff>171450</xdr:rowOff>
        </xdr:from>
        <xdr:to>
          <xdr:col>20</xdr:col>
          <xdr:colOff>409575</xdr:colOff>
          <xdr:row>24</xdr:row>
          <xdr:rowOff>9525</xdr:rowOff>
        </xdr:to>
        <xdr:sp macro="" textlink="">
          <xdr:nvSpPr>
            <xdr:cNvPr id="25784" name="Option Button 184" hidden="1">
              <a:extLst>
                <a:ext uri="{63B3BB69-23CF-44E3-9099-C40C66FF867C}">
                  <a14:compatExt spid="_x0000_s25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impactos negativos causados pelo empreendimento são conhecidos e alguns são tratados.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24</xdr:row>
          <xdr:rowOff>104775</xdr:rowOff>
        </xdr:from>
        <xdr:to>
          <xdr:col>20</xdr:col>
          <xdr:colOff>409575</xdr:colOff>
          <xdr:row>25</xdr:row>
          <xdr:rowOff>133350</xdr:rowOff>
        </xdr:to>
        <xdr:sp macro="" textlink="">
          <xdr:nvSpPr>
            <xdr:cNvPr id="25785" name="Option Button 185" hidden="1">
              <a:extLst>
                <a:ext uri="{63B3BB69-23CF-44E3-9099-C40C66FF867C}">
                  <a14:compatExt spid="_x0000_s25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impactos negativos causados pelo empreendimento são conhecidos e alguns são tratados de forma planejada por meio de ações adequadas.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</xdr:row>
          <xdr:rowOff>114300</xdr:rowOff>
        </xdr:from>
        <xdr:to>
          <xdr:col>20</xdr:col>
          <xdr:colOff>581025</xdr:colOff>
          <xdr:row>38</xdr:row>
          <xdr:rowOff>123825</xdr:rowOff>
        </xdr:to>
        <xdr:sp macro="" textlink="">
          <xdr:nvSpPr>
            <xdr:cNvPr id="25786" name="Group Box 186" hidden="1">
              <a:extLst>
                <a:ext uri="{63B3BB69-23CF-44E3-9099-C40C66FF867C}">
                  <a14:compatExt spid="_x0000_s25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3. Os perigos e os riscos relacionados à saúde e a segurança no trabalho dos empreendedores são identificados e tratados.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31</xdr:row>
          <xdr:rowOff>123825</xdr:rowOff>
        </xdr:from>
        <xdr:to>
          <xdr:col>20</xdr:col>
          <xdr:colOff>409575</xdr:colOff>
          <xdr:row>32</xdr:row>
          <xdr:rowOff>152400</xdr:rowOff>
        </xdr:to>
        <xdr:sp macro="" textlink="">
          <xdr:nvSpPr>
            <xdr:cNvPr id="25787" name="Option Button 187" hidden="1">
              <a:extLst>
                <a:ext uri="{63B3BB69-23CF-44E3-9099-C40C66FF867C}">
                  <a14:compatExt spid="_x0000_s25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perigos e os riscos relacionados à saúde e a segurança no trabalho dos empreendedores não são identificados e não são tratados.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33</xdr:row>
          <xdr:rowOff>57150</xdr:rowOff>
        </xdr:from>
        <xdr:to>
          <xdr:col>20</xdr:col>
          <xdr:colOff>409575</xdr:colOff>
          <xdr:row>34</xdr:row>
          <xdr:rowOff>85725</xdr:rowOff>
        </xdr:to>
        <xdr:sp macro="" textlink="">
          <xdr:nvSpPr>
            <xdr:cNvPr id="25788" name="Option Button 188" hidden="1">
              <a:extLst>
                <a:ext uri="{63B3BB69-23CF-44E3-9099-C40C66FF867C}">
                  <a14:compatExt spid="_x0000_s257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perigos e os riscos relacionados à saúde e a segurança no trabalho dos empreendedores não são identificados, mas algumas ações são adotadas.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34</xdr:row>
          <xdr:rowOff>180975</xdr:rowOff>
        </xdr:from>
        <xdr:to>
          <xdr:col>20</xdr:col>
          <xdr:colOff>409575</xdr:colOff>
          <xdr:row>36</xdr:row>
          <xdr:rowOff>19050</xdr:rowOff>
        </xdr:to>
        <xdr:sp macro="" textlink="">
          <xdr:nvSpPr>
            <xdr:cNvPr id="25789" name="Option Button 189" hidden="1">
              <a:extLst>
                <a:ext uri="{63B3BB69-23CF-44E3-9099-C40C66FF867C}">
                  <a14:compatExt spid="_x0000_s257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perigos e os riscos relacionados à saúde e a segurança no trabalho dos empreendedores são identificadoso e alguns são tratados.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36</xdr:row>
          <xdr:rowOff>114300</xdr:rowOff>
        </xdr:from>
        <xdr:to>
          <xdr:col>20</xdr:col>
          <xdr:colOff>409575</xdr:colOff>
          <xdr:row>37</xdr:row>
          <xdr:rowOff>142875</xdr:rowOff>
        </xdr:to>
        <xdr:sp macro="" textlink="">
          <xdr:nvSpPr>
            <xdr:cNvPr id="25790" name="Option Button 190" hidden="1">
              <a:extLst>
                <a:ext uri="{63B3BB69-23CF-44E3-9099-C40C66FF867C}">
                  <a14:compatExt spid="_x0000_s257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perigos e os riscos relacionados à saúde e a segurança no trabalho dos empreendedores são identificados e alguns são tratados de forma planejada por meio de ações adequadas.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42</xdr:row>
          <xdr:rowOff>95250</xdr:rowOff>
        </xdr:from>
        <xdr:to>
          <xdr:col>20</xdr:col>
          <xdr:colOff>581025</xdr:colOff>
          <xdr:row>50</xdr:row>
          <xdr:rowOff>104775</xdr:rowOff>
        </xdr:to>
        <xdr:sp macro="" textlink="">
          <xdr:nvSpPr>
            <xdr:cNvPr id="25791" name="Group Box 191" hidden="1">
              <a:extLst>
                <a:ext uri="{63B3BB69-23CF-44E3-9099-C40C66FF867C}">
                  <a14:compatExt spid="_x0000_s257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4. A ideologia relacionada com a nossa atuação (Missão, Visão e Valores) está definida e é de conhecimento de todos os empreendedores e equipe, caso exista.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43</xdr:row>
          <xdr:rowOff>104775</xdr:rowOff>
        </xdr:from>
        <xdr:to>
          <xdr:col>20</xdr:col>
          <xdr:colOff>409575</xdr:colOff>
          <xdr:row>44</xdr:row>
          <xdr:rowOff>133350</xdr:rowOff>
        </xdr:to>
        <xdr:sp macro="" textlink="">
          <xdr:nvSpPr>
            <xdr:cNvPr id="25792" name="Option Button 192" hidden="1">
              <a:extLst>
                <a:ext uri="{63B3BB69-23CF-44E3-9099-C40C66FF867C}">
                  <a14:compatExt spid="_x0000_s257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ideologia central do empreendimento não está definida.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45</xdr:row>
          <xdr:rowOff>38100</xdr:rowOff>
        </xdr:from>
        <xdr:to>
          <xdr:col>20</xdr:col>
          <xdr:colOff>409575</xdr:colOff>
          <xdr:row>46</xdr:row>
          <xdr:rowOff>66675</xdr:rowOff>
        </xdr:to>
        <xdr:sp macro="" textlink="">
          <xdr:nvSpPr>
            <xdr:cNvPr id="25793" name="Option Button 193" hidden="1">
              <a:extLst>
                <a:ext uri="{63B3BB69-23CF-44E3-9099-C40C66FF867C}">
                  <a14:compatExt spid="_x0000_s25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ideologia central do empreendimento está definida, porém, a sua formulação foi feita de forma empírica (derivado da experiência comum dos empreendedores envolvidos).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46</xdr:row>
          <xdr:rowOff>161925</xdr:rowOff>
        </xdr:from>
        <xdr:to>
          <xdr:col>20</xdr:col>
          <xdr:colOff>409575</xdr:colOff>
          <xdr:row>48</xdr:row>
          <xdr:rowOff>0</xdr:rowOff>
        </xdr:to>
        <xdr:sp macro="" textlink="">
          <xdr:nvSpPr>
            <xdr:cNvPr id="25794" name="Option Button 194" hidden="1">
              <a:extLst>
                <a:ext uri="{63B3BB69-23CF-44E3-9099-C40C66FF867C}">
                  <a14:compatExt spid="_x0000_s25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ideologia central do empreendimento foi definida a partir de uma iniciativa formal que usou, por exemplo, uma análise do ambiente de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48</xdr:row>
          <xdr:rowOff>95250</xdr:rowOff>
        </xdr:from>
        <xdr:to>
          <xdr:col>20</xdr:col>
          <xdr:colOff>409575</xdr:colOff>
          <xdr:row>49</xdr:row>
          <xdr:rowOff>123825</xdr:rowOff>
        </xdr:to>
        <xdr:sp macro="" textlink="">
          <xdr:nvSpPr>
            <xdr:cNvPr id="25795" name="Option Button 195" hidden="1">
              <a:extLst>
                <a:ext uri="{63B3BB69-23CF-44E3-9099-C40C66FF867C}">
                  <a14:compatExt spid="_x0000_s25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ideologia central do empreendimento está definida, sendo atualizada sempre que sugem novas informações sobre o ambiente de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54</xdr:row>
          <xdr:rowOff>95250</xdr:rowOff>
        </xdr:from>
        <xdr:to>
          <xdr:col>20</xdr:col>
          <xdr:colOff>581025</xdr:colOff>
          <xdr:row>62</xdr:row>
          <xdr:rowOff>104775</xdr:rowOff>
        </xdr:to>
        <xdr:sp macro="" textlink="">
          <xdr:nvSpPr>
            <xdr:cNvPr id="25796" name="Group Box 196" hidden="1">
              <a:extLst>
                <a:ext uri="{63B3BB69-23CF-44E3-9099-C40C66FF867C}">
                  <a14:compatExt spid="_x0000_s25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5. As principais diretrizes e os respectivos planos de ação, capazes de permitir o alcance dos principais objetivos de médio e longo prazos do empreendimento estão definidos.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55</xdr:row>
          <xdr:rowOff>104775</xdr:rowOff>
        </xdr:from>
        <xdr:to>
          <xdr:col>20</xdr:col>
          <xdr:colOff>409575</xdr:colOff>
          <xdr:row>56</xdr:row>
          <xdr:rowOff>133350</xdr:rowOff>
        </xdr:to>
        <xdr:sp macro="" textlink="">
          <xdr:nvSpPr>
            <xdr:cNvPr id="25797" name="Option Button 197" hidden="1">
              <a:extLst>
                <a:ext uri="{63B3BB69-23CF-44E3-9099-C40C66FF867C}">
                  <a14:compatExt spid="_x0000_s25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ideologia central do empreendimento está definida, sendo atualizada sempre que sugem novas informações sobre o ambiente de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57</xdr:row>
          <xdr:rowOff>38100</xdr:rowOff>
        </xdr:from>
        <xdr:to>
          <xdr:col>20</xdr:col>
          <xdr:colOff>409575</xdr:colOff>
          <xdr:row>58</xdr:row>
          <xdr:rowOff>66675</xdr:rowOff>
        </xdr:to>
        <xdr:sp macro="" textlink="">
          <xdr:nvSpPr>
            <xdr:cNvPr id="25798" name="Option Button 198" hidden="1">
              <a:extLst>
                <a:ext uri="{63B3BB69-23CF-44E3-9099-C40C66FF867C}">
                  <a14:compatExt spid="_x0000_s25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principais diretrizes e os respectivos planos de ação estão definidas informalmente e com uso restrito de informações internas e externas.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58</xdr:row>
          <xdr:rowOff>161925</xdr:rowOff>
        </xdr:from>
        <xdr:to>
          <xdr:col>20</xdr:col>
          <xdr:colOff>409575</xdr:colOff>
          <xdr:row>60</xdr:row>
          <xdr:rowOff>0</xdr:rowOff>
        </xdr:to>
        <xdr:sp macro="" textlink="">
          <xdr:nvSpPr>
            <xdr:cNvPr id="25799" name="Option Button 199" hidden="1">
              <a:extLst>
                <a:ext uri="{63B3BB69-23CF-44E3-9099-C40C66FF867C}">
                  <a14:compatExt spid="_x0000_s25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principais diretrizes e os respectivos planos de ação estão definidas informalmente, porém, são consideradas informações internas e externas relacionadas ao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60</xdr:row>
          <xdr:rowOff>95250</xdr:rowOff>
        </xdr:from>
        <xdr:to>
          <xdr:col>20</xdr:col>
          <xdr:colOff>409575</xdr:colOff>
          <xdr:row>61</xdr:row>
          <xdr:rowOff>123825</xdr:rowOff>
        </xdr:to>
        <xdr:sp macro="" textlink="">
          <xdr:nvSpPr>
            <xdr:cNvPr id="25800" name="Option Button 200" hidden="1">
              <a:extLst>
                <a:ext uri="{63B3BB69-23CF-44E3-9099-C40C66FF867C}">
                  <a14:compatExt spid="_x0000_s25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principais diretrizes e os respectivos planos estão definidas formalmente, por meio de método que considera a análise de informações internas e externas.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104775</xdr:rowOff>
        </xdr:from>
        <xdr:to>
          <xdr:col>20</xdr:col>
          <xdr:colOff>590550</xdr:colOff>
          <xdr:row>74</xdr:row>
          <xdr:rowOff>114300</xdr:rowOff>
        </xdr:to>
        <xdr:sp macro="" textlink="">
          <xdr:nvSpPr>
            <xdr:cNvPr id="25801" name="Group Box 201" hidden="1">
              <a:extLst>
                <a:ext uri="{63B3BB69-23CF-44E3-9099-C40C66FF867C}">
                  <a14:compatExt spid="_x0000_s25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6. Os empreendedores estabeleceram indicadores (fluxo de caixa, margem e ponto de equilíbrio são exemplos) e metas para os planos de ação e para o empreendimento como um todo. Além disso, estabeleceram os controles para acompanhar o desempenho, principalmente, desempenho financeiro.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67</xdr:row>
          <xdr:rowOff>114300</xdr:rowOff>
        </xdr:from>
        <xdr:to>
          <xdr:col>20</xdr:col>
          <xdr:colOff>419100</xdr:colOff>
          <xdr:row>68</xdr:row>
          <xdr:rowOff>142875</xdr:rowOff>
        </xdr:to>
        <xdr:sp macro="" textlink="">
          <xdr:nvSpPr>
            <xdr:cNvPr id="25802" name="Option Button 202" hidden="1">
              <a:extLst>
                <a:ext uri="{63B3BB69-23CF-44E3-9099-C40C66FF867C}">
                  <a14:compatExt spid="_x0000_s25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Indicadores e metas para os planos de ação e para o empreendimento não estão definidos.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69</xdr:row>
          <xdr:rowOff>47625</xdr:rowOff>
        </xdr:from>
        <xdr:to>
          <xdr:col>20</xdr:col>
          <xdr:colOff>419100</xdr:colOff>
          <xdr:row>70</xdr:row>
          <xdr:rowOff>76200</xdr:rowOff>
        </xdr:to>
        <xdr:sp macro="" textlink="">
          <xdr:nvSpPr>
            <xdr:cNvPr id="25803" name="Option Button 203" hidden="1">
              <a:extLst>
                <a:ext uri="{63B3BB69-23CF-44E3-9099-C40C66FF867C}">
                  <a14:compatExt spid="_x0000_s25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Indicadores e metas para os planos de ação e para o empreendimento estão definidas informalmente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70</xdr:row>
          <xdr:rowOff>171450</xdr:rowOff>
        </xdr:from>
        <xdr:to>
          <xdr:col>20</xdr:col>
          <xdr:colOff>419100</xdr:colOff>
          <xdr:row>72</xdr:row>
          <xdr:rowOff>9525</xdr:rowOff>
        </xdr:to>
        <xdr:sp macro="" textlink="">
          <xdr:nvSpPr>
            <xdr:cNvPr id="25804" name="Option Button 204" hidden="1">
              <a:extLst>
                <a:ext uri="{63B3BB69-23CF-44E3-9099-C40C66FF867C}">
                  <a14:compatExt spid="_x0000_s25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Indicadores e metas para os planos de ação e para o empreendimento estão definidas informalmente, porém, as principais informações relacionadas ao negócio são consideradas.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72</xdr:row>
          <xdr:rowOff>104775</xdr:rowOff>
        </xdr:from>
        <xdr:to>
          <xdr:col>20</xdr:col>
          <xdr:colOff>419100</xdr:colOff>
          <xdr:row>73</xdr:row>
          <xdr:rowOff>133350</xdr:rowOff>
        </xdr:to>
        <xdr:sp macro="" textlink="">
          <xdr:nvSpPr>
            <xdr:cNvPr id="25805" name="Option Button 205" hidden="1">
              <a:extLst>
                <a:ext uri="{63B3BB69-23CF-44E3-9099-C40C66FF867C}">
                  <a14:compatExt spid="_x0000_s25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Indicadores e metas para os planos de ação e para o empreendimento estão definidas formalmente, por meio de método que considere as as principais diretrizes relacionadas ao negócio.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78</xdr:row>
          <xdr:rowOff>104775</xdr:rowOff>
        </xdr:from>
        <xdr:to>
          <xdr:col>20</xdr:col>
          <xdr:colOff>581025</xdr:colOff>
          <xdr:row>86</xdr:row>
          <xdr:rowOff>114300</xdr:rowOff>
        </xdr:to>
        <xdr:sp macro="" textlink="">
          <xdr:nvSpPr>
            <xdr:cNvPr id="25811" name="Group Box 211" hidden="1">
              <a:extLst>
                <a:ext uri="{63B3BB69-23CF-44E3-9099-C40C66FF867C}">
                  <a14:compatExt spid="_x0000_s25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7. A jornada do cliente e os processos que suportam essa jornada estão padronizados e são controlados para garantir o atendimento das necessidades e expectativas. [NÃO SE APLICA À MODALIDADE DE PRÉ-INCUBAÇÃO]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79</xdr:row>
          <xdr:rowOff>114300</xdr:rowOff>
        </xdr:from>
        <xdr:to>
          <xdr:col>20</xdr:col>
          <xdr:colOff>409575</xdr:colOff>
          <xdr:row>80</xdr:row>
          <xdr:rowOff>142875</xdr:rowOff>
        </xdr:to>
        <xdr:sp macro="" textlink="">
          <xdr:nvSpPr>
            <xdr:cNvPr id="25812" name="Option Button 212" hidden="1">
              <a:extLst>
                <a:ext uri="{63B3BB69-23CF-44E3-9099-C40C66FF867C}">
                  <a14:compatExt spid="_x0000_s25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jornada do cliente e os processos que suportam essa jornada não estão padronizados e não são controlados.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81</xdr:row>
          <xdr:rowOff>47625</xdr:rowOff>
        </xdr:from>
        <xdr:to>
          <xdr:col>20</xdr:col>
          <xdr:colOff>409575</xdr:colOff>
          <xdr:row>82</xdr:row>
          <xdr:rowOff>76200</xdr:rowOff>
        </xdr:to>
        <xdr:sp macro="" textlink="">
          <xdr:nvSpPr>
            <xdr:cNvPr id="25813" name="Option Button 213" hidden="1">
              <a:extLst>
                <a:ext uri="{63B3BB69-23CF-44E3-9099-C40C66FF867C}">
                  <a14:compatExt spid="_x0000_s25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jornada do cliente e os processos que suportam essa jornada são executados de forma padronizada, porém, os padrões e os instrumentos de controle não são documentados.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82</xdr:row>
          <xdr:rowOff>171450</xdr:rowOff>
        </xdr:from>
        <xdr:to>
          <xdr:col>20</xdr:col>
          <xdr:colOff>409575</xdr:colOff>
          <xdr:row>84</xdr:row>
          <xdr:rowOff>9525</xdr:rowOff>
        </xdr:to>
        <xdr:sp macro="" textlink="">
          <xdr:nvSpPr>
            <xdr:cNvPr id="25814" name="Option Button 214" hidden="1">
              <a:extLst>
                <a:ext uri="{63B3BB69-23CF-44E3-9099-C40C66FF867C}">
                  <a14:compatExt spid="_x0000_s25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jornada do cliente e os processos que suportam essa jornada são executados de forma padronizada, com padrões e instrumentos de controle padronizados.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84</xdr:row>
          <xdr:rowOff>104775</xdr:rowOff>
        </xdr:from>
        <xdr:to>
          <xdr:col>20</xdr:col>
          <xdr:colOff>409575</xdr:colOff>
          <xdr:row>85</xdr:row>
          <xdr:rowOff>133350</xdr:rowOff>
        </xdr:to>
        <xdr:sp macro="" textlink="">
          <xdr:nvSpPr>
            <xdr:cNvPr id="25815" name="Option Button 215" hidden="1">
              <a:extLst>
                <a:ext uri="{63B3BB69-23CF-44E3-9099-C40C66FF867C}">
                  <a14:compatExt spid="_x0000_s25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jornada do cliente e os processos que suportam essa jornada são executados de forma padronizada, com padrões documentados. Além disso, os processos foram concebidos no sentido de traduzir as necessidades dos clientes.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90</xdr:row>
          <xdr:rowOff>85725</xdr:rowOff>
        </xdr:from>
        <xdr:to>
          <xdr:col>20</xdr:col>
          <xdr:colOff>590550</xdr:colOff>
          <xdr:row>98</xdr:row>
          <xdr:rowOff>95250</xdr:rowOff>
        </xdr:to>
        <xdr:sp macro="" textlink="">
          <xdr:nvSpPr>
            <xdr:cNvPr id="25816" name="Group Box 216" hidden="1">
              <a:extLst>
                <a:ext uri="{63B3BB69-23CF-44E3-9099-C40C66FF867C}">
                  <a14:compatExt spid="_x0000_s25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8. Os potenciais fornecedores requeridos pelo negócio são conhecidos.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91</xdr:row>
          <xdr:rowOff>95250</xdr:rowOff>
        </xdr:from>
        <xdr:to>
          <xdr:col>20</xdr:col>
          <xdr:colOff>419100</xdr:colOff>
          <xdr:row>92</xdr:row>
          <xdr:rowOff>123825</xdr:rowOff>
        </xdr:to>
        <xdr:sp macro="" textlink="">
          <xdr:nvSpPr>
            <xdr:cNvPr id="25817" name="Option Button 217" hidden="1">
              <a:extLst>
                <a:ext uri="{63B3BB69-23CF-44E3-9099-C40C66FF867C}">
                  <a14:compatExt spid="_x0000_s25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potenciais fornecedores requeridos pelo negócio não são conhecidos.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93</xdr:row>
          <xdr:rowOff>28575</xdr:rowOff>
        </xdr:from>
        <xdr:to>
          <xdr:col>20</xdr:col>
          <xdr:colOff>419100</xdr:colOff>
          <xdr:row>94</xdr:row>
          <xdr:rowOff>57150</xdr:rowOff>
        </xdr:to>
        <xdr:sp macro="" textlink="">
          <xdr:nvSpPr>
            <xdr:cNvPr id="25818" name="Option Button 218" hidden="1">
              <a:extLst>
                <a:ext uri="{63B3BB69-23CF-44E3-9099-C40C66FF867C}">
                  <a14:compatExt spid="_x0000_s25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potenciais fornecedores requeridos pelo negócio são conhecidos, porém, não foi providenciado nenhum contato formal para confirmar o potencial.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94</xdr:row>
          <xdr:rowOff>152400</xdr:rowOff>
        </xdr:from>
        <xdr:to>
          <xdr:col>20</xdr:col>
          <xdr:colOff>419100</xdr:colOff>
          <xdr:row>95</xdr:row>
          <xdr:rowOff>180975</xdr:rowOff>
        </xdr:to>
        <xdr:sp macro="" textlink="">
          <xdr:nvSpPr>
            <xdr:cNvPr id="25819" name="Option Button 219" hidden="1">
              <a:extLst>
                <a:ext uri="{63B3BB69-23CF-44E3-9099-C40C66FF867C}">
                  <a14:compatExt spid="_x0000_s25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potenciais fornecedores requeridos pelo negócio são conhecidos. Além disso, foi providenciado contato para confirmar o potencial.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96</xdr:row>
          <xdr:rowOff>85725</xdr:rowOff>
        </xdr:from>
        <xdr:to>
          <xdr:col>20</xdr:col>
          <xdr:colOff>419100</xdr:colOff>
          <xdr:row>97</xdr:row>
          <xdr:rowOff>114300</xdr:rowOff>
        </xdr:to>
        <xdr:sp macro="" textlink="">
          <xdr:nvSpPr>
            <xdr:cNvPr id="25820" name="Option Button 220" hidden="1">
              <a:extLst>
                <a:ext uri="{63B3BB69-23CF-44E3-9099-C40C66FF867C}">
                  <a14:compatExt spid="_x0000_s25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potenciais fornecedores requeridos pelo negócio são conhecidos. Foi providenciado contato para confirmar o potencial. Termos de parceria (vínculo formal) estão sendo providenciados.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102</xdr:row>
          <xdr:rowOff>104775</xdr:rowOff>
        </xdr:from>
        <xdr:to>
          <xdr:col>20</xdr:col>
          <xdr:colOff>581025</xdr:colOff>
          <xdr:row>110</xdr:row>
          <xdr:rowOff>114300</xdr:rowOff>
        </xdr:to>
        <xdr:sp macro="" textlink="">
          <xdr:nvSpPr>
            <xdr:cNvPr id="25821" name="Group Box 221" hidden="1">
              <a:extLst>
                <a:ext uri="{63B3BB69-23CF-44E3-9099-C40C66FF867C}">
                  <a14:compatExt spid="_x0000_s25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9. Os principais fornecedores estão estabelecidos (vínculo formal) e, além disso, são avaliados.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103</xdr:row>
          <xdr:rowOff>114300</xdr:rowOff>
        </xdr:from>
        <xdr:to>
          <xdr:col>20</xdr:col>
          <xdr:colOff>409575</xdr:colOff>
          <xdr:row>104</xdr:row>
          <xdr:rowOff>142875</xdr:rowOff>
        </xdr:to>
        <xdr:sp macro="" textlink="">
          <xdr:nvSpPr>
            <xdr:cNvPr id="25822" name="Option Button 222" hidden="1">
              <a:extLst>
                <a:ext uri="{63B3BB69-23CF-44E3-9099-C40C66FF867C}">
                  <a14:compatExt spid="_x0000_s25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principais fornecedores não estão estabelecidos e nenhuma providência para formalizar as relações estão sendo providenciadas.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105</xdr:row>
          <xdr:rowOff>47625</xdr:rowOff>
        </xdr:from>
        <xdr:to>
          <xdr:col>20</xdr:col>
          <xdr:colOff>409575</xdr:colOff>
          <xdr:row>106</xdr:row>
          <xdr:rowOff>76200</xdr:rowOff>
        </xdr:to>
        <xdr:sp macro="" textlink="">
          <xdr:nvSpPr>
            <xdr:cNvPr id="25823" name="Option Button 223" hidden="1">
              <a:extLst>
                <a:ext uri="{63B3BB69-23CF-44E3-9099-C40C66FF867C}">
                  <a14:compatExt spid="_x0000_s25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principais fornecedores não estão estabelecidos, porém, providencias para formalizar a relação estão sendo providenciadas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106</xdr:row>
          <xdr:rowOff>171450</xdr:rowOff>
        </xdr:from>
        <xdr:to>
          <xdr:col>20</xdr:col>
          <xdr:colOff>409575</xdr:colOff>
          <xdr:row>108</xdr:row>
          <xdr:rowOff>9525</xdr:rowOff>
        </xdr:to>
        <xdr:sp macro="" textlink="">
          <xdr:nvSpPr>
            <xdr:cNvPr id="25824" name="Option Button 224" hidden="1">
              <a:extLst>
                <a:ext uri="{63B3BB69-23CF-44E3-9099-C40C66FF867C}">
                  <a14:compatExt spid="_x0000_s25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principais fornecedores estão estabelecidos, porém, não estão previstas avaliações segundo critérios definidos.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108</xdr:row>
          <xdr:rowOff>104775</xdr:rowOff>
        </xdr:from>
        <xdr:to>
          <xdr:col>20</xdr:col>
          <xdr:colOff>409575</xdr:colOff>
          <xdr:row>109</xdr:row>
          <xdr:rowOff>133350</xdr:rowOff>
        </xdr:to>
        <xdr:sp macro="" textlink="">
          <xdr:nvSpPr>
            <xdr:cNvPr id="25825" name="Option Button 225" hidden="1">
              <a:extLst>
                <a:ext uri="{63B3BB69-23CF-44E3-9099-C40C66FF867C}">
                  <a14:compatExt spid="_x0000_s25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Os principais fornecedores estão estabelecidos. Além disso, avalliações segundo critérios definidos estão previstas.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104775" y="85725"/>
    <xdr:ext cx="11741944" cy="5117306"/>
    <xdr:graphicFrame macro="">
      <xdr:nvGraphicFramePr>
        <xdr:cNvPr id="3" name="Gráfico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17</xdr:col>
      <xdr:colOff>531019</xdr:colOff>
      <xdr:row>20</xdr:row>
      <xdr:rowOff>140494</xdr:rowOff>
    </xdr:from>
    <xdr:to>
      <xdr:col>19</xdr:col>
      <xdr:colOff>226219</xdr:colOff>
      <xdr:row>22</xdr:row>
      <xdr:rowOff>92869</xdr:rowOff>
    </xdr:to>
    <xdr:sp macro="[0]!irparamenu" textlink="">
      <xdr:nvSpPr>
        <xdr:cNvPr id="4" name="CaixaDeTexto 3"/>
        <xdr:cNvSpPr txBox="1"/>
      </xdr:nvSpPr>
      <xdr:spPr>
        <a:xfrm>
          <a:off x="10853738" y="5295900"/>
          <a:ext cx="909637" cy="3333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0</xdr:col>
      <xdr:colOff>304800</xdr:colOff>
      <xdr:row>1</xdr:row>
      <xdr:rowOff>95250</xdr:rowOff>
    </xdr:from>
    <xdr:to>
      <xdr:col>3</xdr:col>
      <xdr:colOff>438880</xdr:colOff>
      <xdr:row>3</xdr:row>
      <xdr:rowOff>156315</xdr:rowOff>
    </xdr:to>
    <xdr:pic>
      <xdr:nvPicPr>
        <xdr:cNvPr id="5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04800" y="285750"/>
          <a:ext cx="1962880" cy="44206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432955" y="85723"/>
    <xdr:ext cx="29427920" cy="1977390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 editAs="oneCell">
    <xdr:from>
      <xdr:col>0</xdr:col>
      <xdr:colOff>304800</xdr:colOff>
      <xdr:row>1</xdr:row>
      <xdr:rowOff>95250</xdr:rowOff>
    </xdr:from>
    <xdr:to>
      <xdr:col>2</xdr:col>
      <xdr:colOff>534130</xdr:colOff>
      <xdr:row>3</xdr:row>
      <xdr:rowOff>156315</xdr:rowOff>
    </xdr:to>
    <xdr:pic>
      <xdr:nvPicPr>
        <xdr:cNvPr id="3" name="Imagem 2" descr="logomarca-proin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04800" y="285750"/>
          <a:ext cx="1962880" cy="442065"/>
        </a:xfrm>
        <a:prstGeom prst="rect">
          <a:avLst/>
        </a:prstGeom>
      </xdr:spPr>
    </xdr:pic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0.92077</cdr:x>
      <cdr:y>0.00926</cdr:y>
    </cdr:from>
    <cdr:to>
      <cdr:x>0.99462</cdr:x>
      <cdr:y>0.06327</cdr:y>
    </cdr:to>
    <cdr:sp macro="[0]!irparamenu" textlink="">
      <cdr:nvSpPr>
        <cdr:cNvPr id="3" name="CaixaDeTexto 5"/>
        <cdr:cNvSpPr txBox="1"/>
      </cdr:nvSpPr>
      <cdr:spPr>
        <a:xfrm xmlns:a="http://schemas.openxmlformats.org/drawingml/2006/main">
          <a:off x="11401425" y="57150"/>
          <a:ext cx="914400" cy="33337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5">
            <a:lumMod val="20000"/>
            <a:lumOff val="80000"/>
          </a:schemeClr>
        </a:solidFill>
        <a:ln xmlns:a="http://schemas.openxmlformats.org/drawingml/2006/main" w="9525" cmpd="sng">
          <a:solidFill>
            <a:sysClr val="windowText" lastClr="000000"/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pt-BR" sz="1100" b="1">
              <a:solidFill>
                <a:sysClr val="windowText" lastClr="000000"/>
              </a:solidFill>
            </a:rPr>
            <a:t>Menu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38100</xdr:rowOff>
    </xdr:from>
    <xdr:to>
      <xdr:col>3</xdr:col>
      <xdr:colOff>1210405</xdr:colOff>
      <xdr:row>2</xdr:row>
      <xdr:rowOff>42015</xdr:rowOff>
    </xdr:to>
    <xdr:pic>
      <xdr:nvPicPr>
        <xdr:cNvPr id="48" name="Imagem 47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4800" y="38100"/>
          <a:ext cx="1962880" cy="442065"/>
        </a:xfrm>
        <a:prstGeom prst="rect">
          <a:avLst/>
        </a:prstGeom>
      </xdr:spPr>
    </xdr:pic>
    <xdr:clientData/>
  </xdr:twoCellAnchor>
  <xdr:twoCellAnchor>
    <xdr:from>
      <xdr:col>11</xdr:col>
      <xdr:colOff>381000</xdr:colOff>
      <xdr:row>25</xdr:row>
      <xdr:rowOff>123825</xdr:rowOff>
    </xdr:from>
    <xdr:to>
      <xdr:col>15</xdr:col>
      <xdr:colOff>0</xdr:colOff>
      <xdr:row>27</xdr:row>
      <xdr:rowOff>19050</xdr:rowOff>
    </xdr:to>
    <xdr:sp macro="[0]!Retângulo5_Clique" textlink="">
      <xdr:nvSpPr>
        <xdr:cNvPr id="6" name="Retângulo 5"/>
        <xdr:cNvSpPr/>
      </xdr:nvSpPr>
      <xdr:spPr>
        <a:xfrm>
          <a:off x="9210675" y="3619500"/>
          <a:ext cx="1162050" cy="2762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RETORNA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1571625</xdr:colOff>
          <xdr:row>6</xdr:row>
          <xdr:rowOff>19050</xdr:rowOff>
        </xdr:from>
        <xdr:to>
          <xdr:col>5</xdr:col>
          <xdr:colOff>285750</xdr:colOff>
          <xdr:row>7</xdr:row>
          <xdr:rowOff>28575</xdr:rowOff>
        </xdr:to>
        <xdr:sp macro="" textlink="">
          <xdr:nvSpPr>
            <xdr:cNvPr id="69683" name="Check Box 51" hidden="1">
              <a:extLst>
                <a:ext uri="{63B3BB69-23CF-44E3-9099-C40C66FF867C}">
                  <a14:compatExt spid="_x0000_s69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6</xdr:row>
          <xdr:rowOff>28575</xdr:rowOff>
        </xdr:from>
        <xdr:to>
          <xdr:col>8</xdr:col>
          <xdr:colOff>133350</xdr:colOff>
          <xdr:row>7</xdr:row>
          <xdr:rowOff>38100</xdr:rowOff>
        </xdr:to>
        <xdr:sp macro="" textlink="">
          <xdr:nvSpPr>
            <xdr:cNvPr id="69684" name="Check Box 52" hidden="1">
              <a:extLst>
                <a:ext uri="{63B3BB69-23CF-44E3-9099-C40C66FF867C}">
                  <a14:compatExt spid="_x0000_s69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Em desenvolvimento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180975</xdr:colOff>
          <xdr:row>7</xdr:row>
          <xdr:rowOff>66675</xdr:rowOff>
        </xdr:to>
        <xdr:sp macro="" textlink="">
          <xdr:nvSpPr>
            <xdr:cNvPr id="69685" name="Check Box 53" hidden="1">
              <a:extLst>
                <a:ext uri="{63B3BB69-23CF-44E3-9099-C40C66FF867C}">
                  <a14:compatExt spid="_x0000_s69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Finalizado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6</xdr:row>
          <xdr:rowOff>19050</xdr:rowOff>
        </xdr:from>
        <xdr:to>
          <xdr:col>10</xdr:col>
          <xdr:colOff>161925</xdr:colOff>
          <xdr:row>7</xdr:row>
          <xdr:rowOff>47625</xdr:rowOff>
        </xdr:to>
        <xdr:sp macro="" textlink="">
          <xdr:nvSpPr>
            <xdr:cNvPr id="69686" name="Check Box 54" hidden="1">
              <a:extLst>
                <a:ext uri="{63B3BB69-23CF-44E3-9099-C40C66FF867C}">
                  <a14:compatExt spid="_x0000_s69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Validado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1562100</xdr:colOff>
          <xdr:row>6</xdr:row>
          <xdr:rowOff>190500</xdr:rowOff>
        </xdr:from>
        <xdr:to>
          <xdr:col>5</xdr:col>
          <xdr:colOff>304800</xdr:colOff>
          <xdr:row>8</xdr:row>
          <xdr:rowOff>0</xdr:rowOff>
        </xdr:to>
        <xdr:sp macro="" textlink="">
          <xdr:nvSpPr>
            <xdr:cNvPr id="69687" name="Check Box 55" hidden="1">
              <a:extLst>
                <a:ext uri="{63B3BB69-23CF-44E3-9099-C40C66FF867C}">
                  <a14:compatExt spid="_x0000_s69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6</xdr:row>
          <xdr:rowOff>200025</xdr:rowOff>
        </xdr:from>
        <xdr:to>
          <xdr:col>6</xdr:col>
          <xdr:colOff>581025</xdr:colOff>
          <xdr:row>8</xdr:row>
          <xdr:rowOff>19050</xdr:rowOff>
        </xdr:to>
        <xdr:sp macro="" textlink="">
          <xdr:nvSpPr>
            <xdr:cNvPr id="69688" name="Check Box 56" hidden="1">
              <a:extLst>
                <a:ext uri="{63B3BB69-23CF-44E3-9099-C40C66FF867C}">
                  <a14:compatExt spid="_x0000_s69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Preliminar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</xdr:row>
          <xdr:rowOff>0</xdr:rowOff>
        </xdr:from>
        <xdr:to>
          <xdr:col>9</xdr:col>
          <xdr:colOff>238125</xdr:colOff>
          <xdr:row>8</xdr:row>
          <xdr:rowOff>9525</xdr:rowOff>
        </xdr:to>
        <xdr:sp macro="" textlink="">
          <xdr:nvSpPr>
            <xdr:cNvPr id="69689" name="Check Box 57" hidden="1">
              <a:extLst>
                <a:ext uri="{63B3BB69-23CF-44E3-9099-C40C66FF867C}">
                  <a14:compatExt spid="_x0000_s69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Preliminar + Desk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6</xdr:row>
          <xdr:rowOff>200025</xdr:rowOff>
        </xdr:from>
        <xdr:to>
          <xdr:col>12</xdr:col>
          <xdr:colOff>47625</xdr:colOff>
          <xdr:row>7</xdr:row>
          <xdr:rowOff>200025</xdr:rowOff>
        </xdr:to>
        <xdr:sp macro="" textlink="">
          <xdr:nvSpPr>
            <xdr:cNvPr id="69690" name="Check Box 58" hidden="1">
              <a:extLst>
                <a:ext uri="{63B3BB69-23CF-44E3-9099-C40C66FF867C}">
                  <a14:compatExt spid="_x0000_s69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Preliminar + Desk + Exploratória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1571625</xdr:colOff>
          <xdr:row>8</xdr:row>
          <xdr:rowOff>19050</xdr:rowOff>
        </xdr:from>
        <xdr:to>
          <xdr:col>5</xdr:col>
          <xdr:colOff>285750</xdr:colOff>
          <xdr:row>9</xdr:row>
          <xdr:rowOff>28575</xdr:rowOff>
        </xdr:to>
        <xdr:sp macro="" textlink="">
          <xdr:nvSpPr>
            <xdr:cNvPr id="69691" name="Check Box 59" hidden="1">
              <a:extLst>
                <a:ext uri="{63B3BB69-23CF-44E3-9099-C40C66FF867C}">
                  <a14:compatExt spid="_x0000_s69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8</xdr:row>
          <xdr:rowOff>28575</xdr:rowOff>
        </xdr:from>
        <xdr:to>
          <xdr:col>7</xdr:col>
          <xdr:colOff>152400</xdr:colOff>
          <xdr:row>9</xdr:row>
          <xdr:rowOff>19050</xdr:rowOff>
        </xdr:to>
        <xdr:sp macro="" textlink="">
          <xdr:nvSpPr>
            <xdr:cNvPr id="69692" name="Check Box 60" hidden="1">
              <a:extLst>
                <a:ext uri="{63B3BB69-23CF-44E3-9099-C40C66FF867C}">
                  <a14:compatExt spid="_x0000_s69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Em Desenvolvimento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38100</xdr:rowOff>
        </xdr:from>
        <xdr:to>
          <xdr:col>9</xdr:col>
          <xdr:colOff>57150</xdr:colOff>
          <xdr:row>9</xdr:row>
          <xdr:rowOff>28575</xdr:rowOff>
        </xdr:to>
        <xdr:sp macro="" textlink="">
          <xdr:nvSpPr>
            <xdr:cNvPr id="69693" name="Check Box 61" hidden="1">
              <a:extLst>
                <a:ext uri="{63B3BB69-23CF-44E3-9099-C40C66FF867C}">
                  <a14:compatExt spid="_x0000_s69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Finalizado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8</xdr:row>
          <xdr:rowOff>28575</xdr:rowOff>
        </xdr:from>
        <xdr:to>
          <xdr:col>10</xdr:col>
          <xdr:colOff>57150</xdr:colOff>
          <xdr:row>9</xdr:row>
          <xdr:rowOff>19050</xdr:rowOff>
        </xdr:to>
        <xdr:sp macro="" textlink="">
          <xdr:nvSpPr>
            <xdr:cNvPr id="69694" name="Check Box 62" hidden="1">
              <a:extLst>
                <a:ext uri="{63B3BB69-23CF-44E3-9099-C40C66FF867C}">
                  <a14:compatExt spid="_x0000_s69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Validado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9</xdr:row>
          <xdr:rowOff>28575</xdr:rowOff>
        </xdr:from>
        <xdr:to>
          <xdr:col>11</xdr:col>
          <xdr:colOff>266700</xdr:colOff>
          <xdr:row>10</xdr:row>
          <xdr:rowOff>38100</xdr:rowOff>
        </xdr:to>
        <xdr:sp macro="" textlink="">
          <xdr:nvSpPr>
            <xdr:cNvPr id="69695" name="Check Box 63" hidden="1">
              <a:extLst>
                <a:ext uri="{63B3BB69-23CF-44E3-9099-C40C66FF867C}">
                  <a14:compatExt spid="_x0000_s69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9</xdr:row>
          <xdr:rowOff>28575</xdr:rowOff>
        </xdr:from>
        <xdr:to>
          <xdr:col>12</xdr:col>
          <xdr:colOff>266700</xdr:colOff>
          <xdr:row>10</xdr:row>
          <xdr:rowOff>38100</xdr:rowOff>
        </xdr:to>
        <xdr:sp macro="" textlink="">
          <xdr:nvSpPr>
            <xdr:cNvPr id="69696" name="Check Box 64" hidden="1">
              <a:extLst>
                <a:ext uri="{63B3BB69-23CF-44E3-9099-C40C66FF867C}">
                  <a14:compatExt spid="_x0000_s69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10</xdr:row>
          <xdr:rowOff>28575</xdr:rowOff>
        </xdr:from>
        <xdr:to>
          <xdr:col>11</xdr:col>
          <xdr:colOff>266700</xdr:colOff>
          <xdr:row>11</xdr:row>
          <xdr:rowOff>38100</xdr:rowOff>
        </xdr:to>
        <xdr:sp macro="" textlink="">
          <xdr:nvSpPr>
            <xdr:cNvPr id="69697" name="Check Box 65" hidden="1">
              <a:extLst>
                <a:ext uri="{63B3BB69-23CF-44E3-9099-C40C66FF867C}">
                  <a14:compatExt spid="_x0000_s6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10</xdr:row>
          <xdr:rowOff>19050</xdr:rowOff>
        </xdr:from>
        <xdr:to>
          <xdr:col>12</xdr:col>
          <xdr:colOff>266700</xdr:colOff>
          <xdr:row>11</xdr:row>
          <xdr:rowOff>28575</xdr:rowOff>
        </xdr:to>
        <xdr:sp macro="" textlink="">
          <xdr:nvSpPr>
            <xdr:cNvPr id="69698" name="Check Box 66" hidden="1">
              <a:extLst>
                <a:ext uri="{63B3BB69-23CF-44E3-9099-C40C66FF867C}">
                  <a14:compatExt spid="_x0000_s6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11</xdr:row>
          <xdr:rowOff>38100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69699" name="Check Box 67" hidden="1">
              <a:extLst>
                <a:ext uri="{63B3BB69-23CF-44E3-9099-C40C66FF867C}">
                  <a14:compatExt spid="_x0000_s6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11</xdr:row>
          <xdr:rowOff>38100</xdr:rowOff>
        </xdr:from>
        <xdr:to>
          <xdr:col>12</xdr:col>
          <xdr:colOff>266700</xdr:colOff>
          <xdr:row>12</xdr:row>
          <xdr:rowOff>47625</xdr:rowOff>
        </xdr:to>
        <xdr:sp macro="" textlink="">
          <xdr:nvSpPr>
            <xdr:cNvPr id="69700" name="Check Box 68" hidden="1">
              <a:extLst>
                <a:ext uri="{63B3BB69-23CF-44E3-9099-C40C66FF867C}">
                  <a14:compatExt spid="_x0000_s6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12</xdr:row>
          <xdr:rowOff>28575</xdr:rowOff>
        </xdr:from>
        <xdr:to>
          <xdr:col>11</xdr:col>
          <xdr:colOff>266700</xdr:colOff>
          <xdr:row>13</xdr:row>
          <xdr:rowOff>38100</xdr:rowOff>
        </xdr:to>
        <xdr:sp macro="" textlink="">
          <xdr:nvSpPr>
            <xdr:cNvPr id="69701" name="Check Box 69" hidden="1">
              <a:extLst>
                <a:ext uri="{63B3BB69-23CF-44E3-9099-C40C66FF867C}">
                  <a14:compatExt spid="_x0000_s6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12</xdr:row>
          <xdr:rowOff>28575</xdr:rowOff>
        </xdr:from>
        <xdr:to>
          <xdr:col>12</xdr:col>
          <xdr:colOff>266700</xdr:colOff>
          <xdr:row>13</xdr:row>
          <xdr:rowOff>38100</xdr:rowOff>
        </xdr:to>
        <xdr:sp macro="" textlink="">
          <xdr:nvSpPr>
            <xdr:cNvPr id="69702" name="Check Box 70" hidden="1">
              <a:extLst>
                <a:ext uri="{63B3BB69-23CF-44E3-9099-C40C66FF867C}">
                  <a14:compatExt spid="_x0000_s6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13</xdr:row>
          <xdr:rowOff>28575</xdr:rowOff>
        </xdr:from>
        <xdr:to>
          <xdr:col>11</xdr:col>
          <xdr:colOff>266700</xdr:colOff>
          <xdr:row>14</xdr:row>
          <xdr:rowOff>38100</xdr:rowOff>
        </xdr:to>
        <xdr:sp macro="" textlink="">
          <xdr:nvSpPr>
            <xdr:cNvPr id="69703" name="Check Box 71" hidden="1">
              <a:extLst>
                <a:ext uri="{63B3BB69-23CF-44E3-9099-C40C66FF867C}">
                  <a14:compatExt spid="_x0000_s6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13</xdr:row>
          <xdr:rowOff>28575</xdr:rowOff>
        </xdr:from>
        <xdr:to>
          <xdr:col>12</xdr:col>
          <xdr:colOff>266700</xdr:colOff>
          <xdr:row>14</xdr:row>
          <xdr:rowOff>38100</xdr:rowOff>
        </xdr:to>
        <xdr:sp macro="" textlink="">
          <xdr:nvSpPr>
            <xdr:cNvPr id="69704" name="Check Box 72" hidden="1">
              <a:extLst>
                <a:ext uri="{63B3BB69-23CF-44E3-9099-C40C66FF867C}">
                  <a14:compatExt spid="_x0000_s6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14</xdr:row>
          <xdr:rowOff>28575</xdr:rowOff>
        </xdr:from>
        <xdr:to>
          <xdr:col>11</xdr:col>
          <xdr:colOff>266700</xdr:colOff>
          <xdr:row>15</xdr:row>
          <xdr:rowOff>38100</xdr:rowOff>
        </xdr:to>
        <xdr:sp macro="" textlink="">
          <xdr:nvSpPr>
            <xdr:cNvPr id="69705" name="Check Box 73" hidden="1">
              <a:extLst>
                <a:ext uri="{63B3BB69-23CF-44E3-9099-C40C66FF867C}">
                  <a14:compatExt spid="_x0000_s69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14</xdr:row>
          <xdr:rowOff>28575</xdr:rowOff>
        </xdr:from>
        <xdr:to>
          <xdr:col>12</xdr:col>
          <xdr:colOff>266700</xdr:colOff>
          <xdr:row>15</xdr:row>
          <xdr:rowOff>38100</xdr:rowOff>
        </xdr:to>
        <xdr:sp macro="" textlink="">
          <xdr:nvSpPr>
            <xdr:cNvPr id="69706" name="Check Box 74" hidden="1">
              <a:extLst>
                <a:ext uri="{63B3BB69-23CF-44E3-9099-C40C66FF867C}">
                  <a14:compatExt spid="_x0000_s69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19</xdr:row>
          <xdr:rowOff>28575</xdr:rowOff>
        </xdr:from>
        <xdr:to>
          <xdr:col>11</xdr:col>
          <xdr:colOff>266700</xdr:colOff>
          <xdr:row>20</xdr:row>
          <xdr:rowOff>38100</xdr:rowOff>
        </xdr:to>
        <xdr:sp macro="" textlink="">
          <xdr:nvSpPr>
            <xdr:cNvPr id="69707" name="Check Box 75" hidden="1">
              <a:extLst>
                <a:ext uri="{63B3BB69-23CF-44E3-9099-C40C66FF867C}">
                  <a14:compatExt spid="_x0000_s69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19</xdr:row>
          <xdr:rowOff>28575</xdr:rowOff>
        </xdr:from>
        <xdr:to>
          <xdr:col>12</xdr:col>
          <xdr:colOff>266700</xdr:colOff>
          <xdr:row>20</xdr:row>
          <xdr:rowOff>38100</xdr:rowOff>
        </xdr:to>
        <xdr:sp macro="" textlink="">
          <xdr:nvSpPr>
            <xdr:cNvPr id="69708" name="Check Box 76" hidden="1">
              <a:extLst>
                <a:ext uri="{63B3BB69-23CF-44E3-9099-C40C66FF867C}">
                  <a14:compatExt spid="_x0000_s69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15</xdr:row>
          <xdr:rowOff>28575</xdr:rowOff>
        </xdr:from>
        <xdr:to>
          <xdr:col>11</xdr:col>
          <xdr:colOff>266700</xdr:colOff>
          <xdr:row>16</xdr:row>
          <xdr:rowOff>38100</xdr:rowOff>
        </xdr:to>
        <xdr:sp macro="" textlink="">
          <xdr:nvSpPr>
            <xdr:cNvPr id="69709" name="Check Box 77" hidden="1">
              <a:extLst>
                <a:ext uri="{63B3BB69-23CF-44E3-9099-C40C66FF867C}">
                  <a14:compatExt spid="_x0000_s69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15</xdr:row>
          <xdr:rowOff>28575</xdr:rowOff>
        </xdr:from>
        <xdr:to>
          <xdr:col>12</xdr:col>
          <xdr:colOff>266700</xdr:colOff>
          <xdr:row>16</xdr:row>
          <xdr:rowOff>38100</xdr:rowOff>
        </xdr:to>
        <xdr:sp macro="" textlink="">
          <xdr:nvSpPr>
            <xdr:cNvPr id="69710" name="Check Box 78" hidden="1">
              <a:extLst>
                <a:ext uri="{63B3BB69-23CF-44E3-9099-C40C66FF867C}">
                  <a14:compatExt spid="_x0000_s69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21</xdr:row>
          <xdr:rowOff>38100</xdr:rowOff>
        </xdr:from>
        <xdr:to>
          <xdr:col>11</xdr:col>
          <xdr:colOff>266700</xdr:colOff>
          <xdr:row>22</xdr:row>
          <xdr:rowOff>47625</xdr:rowOff>
        </xdr:to>
        <xdr:sp macro="" textlink="">
          <xdr:nvSpPr>
            <xdr:cNvPr id="69711" name="Check Box 79" hidden="1">
              <a:extLst>
                <a:ext uri="{63B3BB69-23CF-44E3-9099-C40C66FF867C}">
                  <a14:compatExt spid="_x0000_s69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21</xdr:row>
          <xdr:rowOff>38100</xdr:rowOff>
        </xdr:from>
        <xdr:to>
          <xdr:col>12</xdr:col>
          <xdr:colOff>266700</xdr:colOff>
          <xdr:row>22</xdr:row>
          <xdr:rowOff>47625</xdr:rowOff>
        </xdr:to>
        <xdr:sp macro="" textlink="">
          <xdr:nvSpPr>
            <xdr:cNvPr id="69712" name="Check Box 80" hidden="1">
              <a:extLst>
                <a:ext uri="{63B3BB69-23CF-44E3-9099-C40C66FF867C}">
                  <a14:compatExt spid="_x0000_s69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22</xdr:row>
          <xdr:rowOff>28575</xdr:rowOff>
        </xdr:from>
        <xdr:to>
          <xdr:col>11</xdr:col>
          <xdr:colOff>266700</xdr:colOff>
          <xdr:row>23</xdr:row>
          <xdr:rowOff>38100</xdr:rowOff>
        </xdr:to>
        <xdr:sp macro="" textlink="">
          <xdr:nvSpPr>
            <xdr:cNvPr id="69713" name="Check Box 81" hidden="1">
              <a:extLst>
                <a:ext uri="{63B3BB69-23CF-44E3-9099-C40C66FF867C}">
                  <a14:compatExt spid="_x0000_s69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22</xdr:row>
          <xdr:rowOff>28575</xdr:rowOff>
        </xdr:from>
        <xdr:to>
          <xdr:col>12</xdr:col>
          <xdr:colOff>266700</xdr:colOff>
          <xdr:row>23</xdr:row>
          <xdr:rowOff>38100</xdr:rowOff>
        </xdr:to>
        <xdr:sp macro="" textlink="">
          <xdr:nvSpPr>
            <xdr:cNvPr id="69714" name="Check Box 82" hidden="1">
              <a:extLst>
                <a:ext uri="{63B3BB69-23CF-44E3-9099-C40C66FF867C}">
                  <a14:compatExt spid="_x0000_s69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1571625</xdr:colOff>
          <xdr:row>16</xdr:row>
          <xdr:rowOff>38100</xdr:rowOff>
        </xdr:from>
        <xdr:to>
          <xdr:col>5</xdr:col>
          <xdr:colOff>285750</xdr:colOff>
          <xdr:row>17</xdr:row>
          <xdr:rowOff>47625</xdr:rowOff>
        </xdr:to>
        <xdr:sp macro="" textlink="">
          <xdr:nvSpPr>
            <xdr:cNvPr id="69715" name="Check Box 83" hidden="1">
              <a:extLst>
                <a:ext uri="{63B3BB69-23CF-44E3-9099-C40C66FF867C}">
                  <a14:compatExt spid="_x0000_s69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16</xdr:row>
          <xdr:rowOff>38100</xdr:rowOff>
        </xdr:from>
        <xdr:to>
          <xdr:col>6</xdr:col>
          <xdr:colOff>9525</xdr:colOff>
          <xdr:row>17</xdr:row>
          <xdr:rowOff>47625</xdr:rowOff>
        </xdr:to>
        <xdr:sp macro="" textlink="">
          <xdr:nvSpPr>
            <xdr:cNvPr id="69716" name="Check Box 84" hidden="1">
              <a:extLst>
                <a:ext uri="{63B3BB69-23CF-44E3-9099-C40C66FF867C}">
                  <a14:compatExt spid="_x0000_s69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1571625</xdr:colOff>
          <xdr:row>17</xdr:row>
          <xdr:rowOff>19050</xdr:rowOff>
        </xdr:from>
        <xdr:to>
          <xdr:col>5</xdr:col>
          <xdr:colOff>285750</xdr:colOff>
          <xdr:row>18</xdr:row>
          <xdr:rowOff>28575</xdr:rowOff>
        </xdr:to>
        <xdr:sp macro="" textlink="">
          <xdr:nvSpPr>
            <xdr:cNvPr id="69717" name="Check Box 85" hidden="1">
              <a:extLst>
                <a:ext uri="{63B3BB69-23CF-44E3-9099-C40C66FF867C}">
                  <a14:compatExt spid="_x0000_s69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17</xdr:row>
          <xdr:rowOff>28575</xdr:rowOff>
        </xdr:from>
        <xdr:to>
          <xdr:col>8</xdr:col>
          <xdr:colOff>133350</xdr:colOff>
          <xdr:row>18</xdr:row>
          <xdr:rowOff>38100</xdr:rowOff>
        </xdr:to>
        <xdr:sp macro="" textlink="">
          <xdr:nvSpPr>
            <xdr:cNvPr id="69718" name="Check Box 86" hidden="1">
              <a:extLst>
                <a:ext uri="{63B3BB69-23CF-44E3-9099-C40C66FF867C}">
                  <a14:compatExt spid="_x0000_s69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Em desenvolvimento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180975</xdr:colOff>
          <xdr:row>18</xdr:row>
          <xdr:rowOff>66675</xdr:rowOff>
        </xdr:to>
        <xdr:sp macro="" textlink="">
          <xdr:nvSpPr>
            <xdr:cNvPr id="69719" name="Check Box 87" hidden="1">
              <a:extLst>
                <a:ext uri="{63B3BB69-23CF-44E3-9099-C40C66FF867C}">
                  <a14:compatExt spid="_x0000_s69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Finalizado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17</xdr:row>
          <xdr:rowOff>19050</xdr:rowOff>
        </xdr:from>
        <xdr:to>
          <xdr:col>10</xdr:col>
          <xdr:colOff>161925</xdr:colOff>
          <xdr:row>18</xdr:row>
          <xdr:rowOff>47625</xdr:rowOff>
        </xdr:to>
        <xdr:sp macro="" textlink="">
          <xdr:nvSpPr>
            <xdr:cNvPr id="69720" name="Check Box 88" hidden="1">
              <a:extLst>
                <a:ext uri="{63B3BB69-23CF-44E3-9099-C40C66FF867C}">
                  <a14:compatExt spid="_x0000_s69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Validado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1571625</xdr:colOff>
          <xdr:row>18</xdr:row>
          <xdr:rowOff>0</xdr:rowOff>
        </xdr:from>
        <xdr:to>
          <xdr:col>5</xdr:col>
          <xdr:colOff>285750</xdr:colOff>
          <xdr:row>19</xdr:row>
          <xdr:rowOff>9525</xdr:rowOff>
        </xdr:to>
        <xdr:sp macro="" textlink="">
          <xdr:nvSpPr>
            <xdr:cNvPr id="69721" name="Check Box 89" hidden="1">
              <a:extLst>
                <a:ext uri="{63B3BB69-23CF-44E3-9099-C40C66FF867C}">
                  <a14:compatExt spid="_x0000_s69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18</xdr:row>
          <xdr:rowOff>9525</xdr:rowOff>
        </xdr:from>
        <xdr:to>
          <xdr:col>8</xdr:col>
          <xdr:colOff>133350</xdr:colOff>
          <xdr:row>19</xdr:row>
          <xdr:rowOff>19050</xdr:rowOff>
        </xdr:to>
        <xdr:sp macro="" textlink="">
          <xdr:nvSpPr>
            <xdr:cNvPr id="69722" name="Check Box 90" hidden="1">
              <a:extLst>
                <a:ext uri="{63B3BB69-23CF-44E3-9099-C40C66FF867C}">
                  <a14:compatExt spid="_x0000_s69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Em desenvolvimento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190500</xdr:rowOff>
        </xdr:from>
        <xdr:to>
          <xdr:col>9</xdr:col>
          <xdr:colOff>180975</xdr:colOff>
          <xdr:row>19</xdr:row>
          <xdr:rowOff>47625</xdr:rowOff>
        </xdr:to>
        <xdr:sp macro="" textlink="">
          <xdr:nvSpPr>
            <xdr:cNvPr id="69723" name="Check Box 91" hidden="1">
              <a:extLst>
                <a:ext uri="{63B3BB69-23CF-44E3-9099-C40C66FF867C}">
                  <a14:compatExt spid="_x0000_s69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Em teste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18</xdr:row>
          <xdr:rowOff>0</xdr:rowOff>
        </xdr:from>
        <xdr:to>
          <xdr:col>10</xdr:col>
          <xdr:colOff>457200</xdr:colOff>
          <xdr:row>19</xdr:row>
          <xdr:rowOff>28575</xdr:rowOff>
        </xdr:to>
        <xdr:sp macro="" textlink="">
          <xdr:nvSpPr>
            <xdr:cNvPr id="69724" name="Check Box 92" hidden="1">
              <a:extLst>
                <a:ext uri="{63B3BB69-23CF-44E3-9099-C40C66FF867C}">
                  <a14:compatExt spid="_x0000_s69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Em comercialização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1581150</xdr:colOff>
          <xdr:row>20</xdr:row>
          <xdr:rowOff>9525</xdr:rowOff>
        </xdr:from>
        <xdr:to>
          <xdr:col>5</xdr:col>
          <xdr:colOff>295275</xdr:colOff>
          <xdr:row>21</xdr:row>
          <xdr:rowOff>19050</xdr:rowOff>
        </xdr:to>
        <xdr:sp macro="" textlink="">
          <xdr:nvSpPr>
            <xdr:cNvPr id="69725" name="Check Box 93" hidden="1">
              <a:extLst>
                <a:ext uri="{63B3BB69-23CF-44E3-9099-C40C66FF867C}">
                  <a14:compatExt spid="_x0000_s69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20</xdr:row>
          <xdr:rowOff>19050</xdr:rowOff>
        </xdr:from>
        <xdr:to>
          <xdr:col>8</xdr:col>
          <xdr:colOff>142875</xdr:colOff>
          <xdr:row>21</xdr:row>
          <xdr:rowOff>28575</xdr:rowOff>
        </xdr:to>
        <xdr:sp macro="" textlink="">
          <xdr:nvSpPr>
            <xdr:cNvPr id="69726" name="Check Box 94" hidden="1">
              <a:extLst>
                <a:ext uri="{63B3BB69-23CF-44E3-9099-C40C66FF867C}">
                  <a14:compatExt spid="_x0000_s69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Em desenvolvimento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</xdr:row>
          <xdr:rowOff>200025</xdr:rowOff>
        </xdr:from>
        <xdr:to>
          <xdr:col>9</xdr:col>
          <xdr:colOff>190500</xdr:colOff>
          <xdr:row>21</xdr:row>
          <xdr:rowOff>57150</xdr:rowOff>
        </xdr:to>
        <xdr:sp macro="" textlink="">
          <xdr:nvSpPr>
            <xdr:cNvPr id="69727" name="Check Box 95" hidden="1">
              <a:extLst>
                <a:ext uri="{63B3BB69-23CF-44E3-9099-C40C66FF867C}">
                  <a14:compatExt spid="_x0000_s69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Finalizado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20</xdr:row>
          <xdr:rowOff>9525</xdr:rowOff>
        </xdr:from>
        <xdr:to>
          <xdr:col>10</xdr:col>
          <xdr:colOff>171450</xdr:colOff>
          <xdr:row>21</xdr:row>
          <xdr:rowOff>38100</xdr:rowOff>
        </xdr:to>
        <xdr:sp macro="" textlink="">
          <xdr:nvSpPr>
            <xdr:cNvPr id="69728" name="Check Box 96" hidden="1">
              <a:extLst>
                <a:ext uri="{63B3BB69-23CF-44E3-9099-C40C66FF867C}">
                  <a14:compatExt spid="_x0000_s69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Validado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1581150</xdr:colOff>
          <xdr:row>23</xdr:row>
          <xdr:rowOff>0</xdr:rowOff>
        </xdr:from>
        <xdr:to>
          <xdr:col>5</xdr:col>
          <xdr:colOff>504825</xdr:colOff>
          <xdr:row>24</xdr:row>
          <xdr:rowOff>47625</xdr:rowOff>
        </xdr:to>
        <xdr:sp macro="" textlink="">
          <xdr:nvSpPr>
            <xdr:cNvPr id="69729" name="Check Box 97" hidden="1">
              <a:extLst>
                <a:ext uri="{63B3BB69-23CF-44E3-9099-C40C66FF867C}">
                  <a14:compatExt spid="_x0000_s69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23</xdr:row>
          <xdr:rowOff>28575</xdr:rowOff>
        </xdr:from>
        <xdr:to>
          <xdr:col>7</xdr:col>
          <xdr:colOff>209550</xdr:colOff>
          <xdr:row>24</xdr:row>
          <xdr:rowOff>28575</xdr:rowOff>
        </xdr:to>
        <xdr:sp macro="" textlink="">
          <xdr:nvSpPr>
            <xdr:cNvPr id="69730" name="Check Box 98" hidden="1">
              <a:extLst>
                <a:ext uri="{63B3BB69-23CF-44E3-9099-C40C66FF867C}">
                  <a14:compatExt spid="_x0000_s69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Em Desenvolvimento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23</xdr:row>
          <xdr:rowOff>38100</xdr:rowOff>
        </xdr:from>
        <xdr:to>
          <xdr:col>9</xdr:col>
          <xdr:colOff>361950</xdr:colOff>
          <xdr:row>24</xdr:row>
          <xdr:rowOff>28575</xdr:rowOff>
        </xdr:to>
        <xdr:sp macro="" textlink="">
          <xdr:nvSpPr>
            <xdr:cNvPr id="69731" name="Check Box 99" hidden="1">
              <a:extLst>
                <a:ext uri="{63B3BB69-23CF-44E3-9099-C40C66FF867C}">
                  <a14:compatExt spid="_x0000_s69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Finalizado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23</xdr:row>
          <xdr:rowOff>9525</xdr:rowOff>
        </xdr:from>
        <xdr:to>
          <xdr:col>10</xdr:col>
          <xdr:colOff>200025</xdr:colOff>
          <xdr:row>24</xdr:row>
          <xdr:rowOff>57150</xdr:rowOff>
        </xdr:to>
        <xdr:sp macro="" textlink="">
          <xdr:nvSpPr>
            <xdr:cNvPr id="69732" name="Check Box 100" hidden="1">
              <a:extLst>
                <a:ext uri="{63B3BB69-23CF-44E3-9099-C40C66FF867C}">
                  <a14:compatExt spid="_x0000_s69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Validado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54" Type="http://schemas.openxmlformats.org/officeDocument/2006/relationships/ctrlProp" Target="../ctrlProps/ctrlProp151.xml"/><Relationship Id="rId159" Type="http://schemas.openxmlformats.org/officeDocument/2006/relationships/ctrlProp" Target="../ctrlProps/ctrlProp156.xml"/><Relationship Id="rId175" Type="http://schemas.openxmlformats.org/officeDocument/2006/relationships/ctrlProp" Target="../ctrlProps/ctrlProp172.xml"/><Relationship Id="rId170" Type="http://schemas.openxmlformats.org/officeDocument/2006/relationships/ctrlProp" Target="../ctrlProps/ctrlProp167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65" Type="http://schemas.openxmlformats.org/officeDocument/2006/relationships/ctrlProp" Target="../ctrlProps/ctrlProp162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71" Type="http://schemas.openxmlformats.org/officeDocument/2006/relationships/ctrlProp" Target="../ctrlProps/ctrlProp168.xml"/><Relationship Id="rId176" Type="http://schemas.openxmlformats.org/officeDocument/2006/relationships/ctrlProp" Target="../ctrlProps/ctrlProp173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66" Type="http://schemas.openxmlformats.org/officeDocument/2006/relationships/ctrlProp" Target="../ctrlProps/ctrlProp163.xml"/><Relationship Id="rId182" Type="http://schemas.openxmlformats.org/officeDocument/2006/relationships/ctrlProp" Target="../ctrlProps/ctrlProp17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72" Type="http://schemas.openxmlformats.org/officeDocument/2006/relationships/ctrlProp" Target="../ctrlProps/ctrlProp169.xml"/><Relationship Id="rId180" Type="http://schemas.openxmlformats.org/officeDocument/2006/relationships/ctrlProp" Target="../ctrlProps/ctrlProp177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03.xml"/><Relationship Id="rId117" Type="http://schemas.openxmlformats.org/officeDocument/2006/relationships/ctrlProp" Target="../ctrlProps/ctrlProp294.xml"/><Relationship Id="rId21" Type="http://schemas.openxmlformats.org/officeDocument/2006/relationships/ctrlProp" Target="../ctrlProps/ctrlProp198.xml"/><Relationship Id="rId42" Type="http://schemas.openxmlformats.org/officeDocument/2006/relationships/ctrlProp" Target="../ctrlProps/ctrlProp219.xml"/><Relationship Id="rId47" Type="http://schemas.openxmlformats.org/officeDocument/2006/relationships/ctrlProp" Target="../ctrlProps/ctrlProp224.xml"/><Relationship Id="rId63" Type="http://schemas.openxmlformats.org/officeDocument/2006/relationships/ctrlProp" Target="../ctrlProps/ctrlProp240.xml"/><Relationship Id="rId68" Type="http://schemas.openxmlformats.org/officeDocument/2006/relationships/ctrlProp" Target="../ctrlProps/ctrlProp245.xml"/><Relationship Id="rId84" Type="http://schemas.openxmlformats.org/officeDocument/2006/relationships/ctrlProp" Target="../ctrlProps/ctrlProp261.xml"/><Relationship Id="rId89" Type="http://schemas.openxmlformats.org/officeDocument/2006/relationships/ctrlProp" Target="../ctrlProps/ctrlProp266.xml"/><Relationship Id="rId112" Type="http://schemas.openxmlformats.org/officeDocument/2006/relationships/ctrlProp" Target="../ctrlProps/ctrlProp289.xml"/><Relationship Id="rId133" Type="http://schemas.openxmlformats.org/officeDocument/2006/relationships/ctrlProp" Target="../ctrlProps/ctrlProp310.xml"/><Relationship Id="rId138" Type="http://schemas.openxmlformats.org/officeDocument/2006/relationships/ctrlProp" Target="../ctrlProps/ctrlProp315.xml"/><Relationship Id="rId154" Type="http://schemas.openxmlformats.org/officeDocument/2006/relationships/ctrlProp" Target="../ctrlProps/ctrlProp331.xml"/><Relationship Id="rId159" Type="http://schemas.openxmlformats.org/officeDocument/2006/relationships/ctrlProp" Target="../ctrlProps/ctrlProp336.xml"/><Relationship Id="rId175" Type="http://schemas.openxmlformats.org/officeDocument/2006/relationships/ctrlProp" Target="../ctrlProps/ctrlProp352.xml"/><Relationship Id="rId170" Type="http://schemas.openxmlformats.org/officeDocument/2006/relationships/ctrlProp" Target="../ctrlProps/ctrlProp347.xml"/><Relationship Id="rId16" Type="http://schemas.openxmlformats.org/officeDocument/2006/relationships/ctrlProp" Target="../ctrlProps/ctrlProp193.xml"/><Relationship Id="rId107" Type="http://schemas.openxmlformats.org/officeDocument/2006/relationships/ctrlProp" Target="../ctrlProps/ctrlProp284.xml"/><Relationship Id="rId11" Type="http://schemas.openxmlformats.org/officeDocument/2006/relationships/ctrlProp" Target="../ctrlProps/ctrlProp188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3" Type="http://schemas.openxmlformats.org/officeDocument/2006/relationships/ctrlProp" Target="../ctrlProps/ctrlProp230.xml"/><Relationship Id="rId58" Type="http://schemas.openxmlformats.org/officeDocument/2006/relationships/ctrlProp" Target="../ctrlProps/ctrlProp235.xml"/><Relationship Id="rId74" Type="http://schemas.openxmlformats.org/officeDocument/2006/relationships/ctrlProp" Target="../ctrlProps/ctrlProp251.xml"/><Relationship Id="rId79" Type="http://schemas.openxmlformats.org/officeDocument/2006/relationships/ctrlProp" Target="../ctrlProps/ctrlProp256.xml"/><Relationship Id="rId102" Type="http://schemas.openxmlformats.org/officeDocument/2006/relationships/ctrlProp" Target="../ctrlProps/ctrlProp279.xml"/><Relationship Id="rId123" Type="http://schemas.openxmlformats.org/officeDocument/2006/relationships/ctrlProp" Target="../ctrlProps/ctrlProp300.xml"/><Relationship Id="rId128" Type="http://schemas.openxmlformats.org/officeDocument/2006/relationships/ctrlProp" Target="../ctrlProps/ctrlProp305.xml"/><Relationship Id="rId144" Type="http://schemas.openxmlformats.org/officeDocument/2006/relationships/ctrlProp" Target="../ctrlProps/ctrlProp321.xml"/><Relationship Id="rId149" Type="http://schemas.openxmlformats.org/officeDocument/2006/relationships/ctrlProp" Target="../ctrlProps/ctrlProp326.xml"/><Relationship Id="rId5" Type="http://schemas.openxmlformats.org/officeDocument/2006/relationships/ctrlProp" Target="../ctrlProps/ctrlProp182.xml"/><Relationship Id="rId90" Type="http://schemas.openxmlformats.org/officeDocument/2006/relationships/ctrlProp" Target="../ctrlProps/ctrlProp267.xml"/><Relationship Id="rId95" Type="http://schemas.openxmlformats.org/officeDocument/2006/relationships/ctrlProp" Target="../ctrlProps/ctrlProp272.xml"/><Relationship Id="rId160" Type="http://schemas.openxmlformats.org/officeDocument/2006/relationships/ctrlProp" Target="../ctrlProps/ctrlProp337.xml"/><Relationship Id="rId165" Type="http://schemas.openxmlformats.org/officeDocument/2006/relationships/ctrlProp" Target="../ctrlProps/ctrlProp342.xml"/><Relationship Id="rId181" Type="http://schemas.openxmlformats.org/officeDocument/2006/relationships/ctrlProp" Target="../ctrlProps/ctrlProp358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43" Type="http://schemas.openxmlformats.org/officeDocument/2006/relationships/ctrlProp" Target="../ctrlProps/ctrlProp220.xml"/><Relationship Id="rId48" Type="http://schemas.openxmlformats.org/officeDocument/2006/relationships/ctrlProp" Target="../ctrlProps/ctrlProp225.xml"/><Relationship Id="rId64" Type="http://schemas.openxmlformats.org/officeDocument/2006/relationships/ctrlProp" Target="../ctrlProps/ctrlProp241.xml"/><Relationship Id="rId69" Type="http://schemas.openxmlformats.org/officeDocument/2006/relationships/ctrlProp" Target="../ctrlProps/ctrlProp246.xml"/><Relationship Id="rId113" Type="http://schemas.openxmlformats.org/officeDocument/2006/relationships/ctrlProp" Target="../ctrlProps/ctrlProp290.xml"/><Relationship Id="rId118" Type="http://schemas.openxmlformats.org/officeDocument/2006/relationships/ctrlProp" Target="../ctrlProps/ctrlProp295.xml"/><Relationship Id="rId134" Type="http://schemas.openxmlformats.org/officeDocument/2006/relationships/ctrlProp" Target="../ctrlProps/ctrlProp311.xml"/><Relationship Id="rId139" Type="http://schemas.openxmlformats.org/officeDocument/2006/relationships/ctrlProp" Target="../ctrlProps/ctrlProp316.xml"/><Relationship Id="rId80" Type="http://schemas.openxmlformats.org/officeDocument/2006/relationships/ctrlProp" Target="../ctrlProps/ctrlProp257.xml"/><Relationship Id="rId85" Type="http://schemas.openxmlformats.org/officeDocument/2006/relationships/ctrlProp" Target="../ctrlProps/ctrlProp262.xml"/><Relationship Id="rId150" Type="http://schemas.openxmlformats.org/officeDocument/2006/relationships/ctrlProp" Target="../ctrlProps/ctrlProp327.xml"/><Relationship Id="rId155" Type="http://schemas.openxmlformats.org/officeDocument/2006/relationships/ctrlProp" Target="../ctrlProps/ctrlProp332.xml"/><Relationship Id="rId171" Type="http://schemas.openxmlformats.org/officeDocument/2006/relationships/ctrlProp" Target="../ctrlProps/ctrlProp348.xml"/><Relationship Id="rId176" Type="http://schemas.openxmlformats.org/officeDocument/2006/relationships/ctrlProp" Target="../ctrlProps/ctrlProp353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59" Type="http://schemas.openxmlformats.org/officeDocument/2006/relationships/ctrlProp" Target="../ctrlProps/ctrlProp236.xml"/><Relationship Id="rId103" Type="http://schemas.openxmlformats.org/officeDocument/2006/relationships/ctrlProp" Target="../ctrlProps/ctrlProp280.xml"/><Relationship Id="rId108" Type="http://schemas.openxmlformats.org/officeDocument/2006/relationships/ctrlProp" Target="../ctrlProps/ctrlProp285.xml"/><Relationship Id="rId124" Type="http://schemas.openxmlformats.org/officeDocument/2006/relationships/ctrlProp" Target="../ctrlProps/ctrlProp301.xml"/><Relationship Id="rId129" Type="http://schemas.openxmlformats.org/officeDocument/2006/relationships/ctrlProp" Target="../ctrlProps/ctrlProp306.xml"/><Relationship Id="rId54" Type="http://schemas.openxmlformats.org/officeDocument/2006/relationships/ctrlProp" Target="../ctrlProps/ctrlProp231.xml"/><Relationship Id="rId70" Type="http://schemas.openxmlformats.org/officeDocument/2006/relationships/ctrlProp" Target="../ctrlProps/ctrlProp247.xml"/><Relationship Id="rId75" Type="http://schemas.openxmlformats.org/officeDocument/2006/relationships/ctrlProp" Target="../ctrlProps/ctrlProp252.xml"/><Relationship Id="rId91" Type="http://schemas.openxmlformats.org/officeDocument/2006/relationships/ctrlProp" Target="../ctrlProps/ctrlProp268.xml"/><Relationship Id="rId96" Type="http://schemas.openxmlformats.org/officeDocument/2006/relationships/ctrlProp" Target="../ctrlProps/ctrlProp273.xml"/><Relationship Id="rId140" Type="http://schemas.openxmlformats.org/officeDocument/2006/relationships/ctrlProp" Target="../ctrlProps/ctrlProp317.xml"/><Relationship Id="rId145" Type="http://schemas.openxmlformats.org/officeDocument/2006/relationships/ctrlProp" Target="../ctrlProps/ctrlProp322.xml"/><Relationship Id="rId161" Type="http://schemas.openxmlformats.org/officeDocument/2006/relationships/ctrlProp" Target="../ctrlProps/ctrlProp338.xml"/><Relationship Id="rId166" Type="http://schemas.openxmlformats.org/officeDocument/2006/relationships/ctrlProp" Target="../ctrlProps/ctrlProp343.xml"/><Relationship Id="rId182" Type="http://schemas.openxmlformats.org/officeDocument/2006/relationships/ctrlProp" Target="../ctrlProps/ctrlProp35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83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49" Type="http://schemas.openxmlformats.org/officeDocument/2006/relationships/ctrlProp" Target="../ctrlProps/ctrlProp226.xml"/><Relationship Id="rId114" Type="http://schemas.openxmlformats.org/officeDocument/2006/relationships/ctrlProp" Target="../ctrlProps/ctrlProp291.xml"/><Relationship Id="rId119" Type="http://schemas.openxmlformats.org/officeDocument/2006/relationships/ctrlProp" Target="../ctrlProps/ctrlProp296.xml"/><Relationship Id="rId44" Type="http://schemas.openxmlformats.org/officeDocument/2006/relationships/ctrlProp" Target="../ctrlProps/ctrlProp221.xml"/><Relationship Id="rId60" Type="http://schemas.openxmlformats.org/officeDocument/2006/relationships/ctrlProp" Target="../ctrlProps/ctrlProp237.xml"/><Relationship Id="rId65" Type="http://schemas.openxmlformats.org/officeDocument/2006/relationships/ctrlProp" Target="../ctrlProps/ctrlProp242.xml"/><Relationship Id="rId81" Type="http://schemas.openxmlformats.org/officeDocument/2006/relationships/ctrlProp" Target="../ctrlProps/ctrlProp258.xml"/><Relationship Id="rId86" Type="http://schemas.openxmlformats.org/officeDocument/2006/relationships/ctrlProp" Target="../ctrlProps/ctrlProp263.xml"/><Relationship Id="rId130" Type="http://schemas.openxmlformats.org/officeDocument/2006/relationships/ctrlProp" Target="../ctrlProps/ctrlProp307.xml"/><Relationship Id="rId135" Type="http://schemas.openxmlformats.org/officeDocument/2006/relationships/ctrlProp" Target="../ctrlProps/ctrlProp312.xml"/><Relationship Id="rId151" Type="http://schemas.openxmlformats.org/officeDocument/2006/relationships/ctrlProp" Target="../ctrlProps/ctrlProp328.xml"/><Relationship Id="rId156" Type="http://schemas.openxmlformats.org/officeDocument/2006/relationships/ctrlProp" Target="../ctrlProps/ctrlProp333.xml"/><Relationship Id="rId177" Type="http://schemas.openxmlformats.org/officeDocument/2006/relationships/ctrlProp" Target="../ctrlProps/ctrlProp354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72" Type="http://schemas.openxmlformats.org/officeDocument/2006/relationships/ctrlProp" Target="../ctrlProps/ctrlProp349.xml"/><Relationship Id="rId180" Type="http://schemas.openxmlformats.org/officeDocument/2006/relationships/ctrlProp" Target="../ctrlProps/ctrlProp357.xml"/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39" Type="http://schemas.openxmlformats.org/officeDocument/2006/relationships/ctrlProp" Target="../ctrlProps/ctrlProp216.xml"/><Relationship Id="rId109" Type="http://schemas.openxmlformats.org/officeDocument/2006/relationships/ctrlProp" Target="../ctrlProps/ctrlProp286.xml"/><Relationship Id="rId34" Type="http://schemas.openxmlformats.org/officeDocument/2006/relationships/ctrlProp" Target="../ctrlProps/ctrlProp211.xml"/><Relationship Id="rId50" Type="http://schemas.openxmlformats.org/officeDocument/2006/relationships/ctrlProp" Target="../ctrlProps/ctrlProp227.xml"/><Relationship Id="rId55" Type="http://schemas.openxmlformats.org/officeDocument/2006/relationships/ctrlProp" Target="../ctrlProps/ctrlProp232.xml"/><Relationship Id="rId76" Type="http://schemas.openxmlformats.org/officeDocument/2006/relationships/ctrlProp" Target="../ctrlProps/ctrlProp253.xml"/><Relationship Id="rId97" Type="http://schemas.openxmlformats.org/officeDocument/2006/relationships/ctrlProp" Target="../ctrlProps/ctrlProp274.xml"/><Relationship Id="rId104" Type="http://schemas.openxmlformats.org/officeDocument/2006/relationships/ctrlProp" Target="../ctrlProps/ctrlProp281.xml"/><Relationship Id="rId120" Type="http://schemas.openxmlformats.org/officeDocument/2006/relationships/ctrlProp" Target="../ctrlProps/ctrlProp297.xml"/><Relationship Id="rId125" Type="http://schemas.openxmlformats.org/officeDocument/2006/relationships/ctrlProp" Target="../ctrlProps/ctrlProp302.xml"/><Relationship Id="rId141" Type="http://schemas.openxmlformats.org/officeDocument/2006/relationships/ctrlProp" Target="../ctrlProps/ctrlProp318.xml"/><Relationship Id="rId146" Type="http://schemas.openxmlformats.org/officeDocument/2006/relationships/ctrlProp" Target="../ctrlProps/ctrlProp323.xml"/><Relationship Id="rId167" Type="http://schemas.openxmlformats.org/officeDocument/2006/relationships/ctrlProp" Target="../ctrlProps/ctrlProp344.xml"/><Relationship Id="rId7" Type="http://schemas.openxmlformats.org/officeDocument/2006/relationships/ctrlProp" Target="../ctrlProps/ctrlProp184.xml"/><Relationship Id="rId71" Type="http://schemas.openxmlformats.org/officeDocument/2006/relationships/ctrlProp" Target="../ctrlProps/ctrlProp248.xml"/><Relationship Id="rId92" Type="http://schemas.openxmlformats.org/officeDocument/2006/relationships/ctrlProp" Target="../ctrlProps/ctrlProp269.xml"/><Relationship Id="rId162" Type="http://schemas.openxmlformats.org/officeDocument/2006/relationships/ctrlProp" Target="../ctrlProps/ctrlProp339.xml"/><Relationship Id="rId183" Type="http://schemas.openxmlformats.org/officeDocument/2006/relationships/ctrlProp" Target="../ctrlProps/ctrlProp36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06.xml"/><Relationship Id="rId24" Type="http://schemas.openxmlformats.org/officeDocument/2006/relationships/ctrlProp" Target="../ctrlProps/ctrlProp201.xml"/><Relationship Id="rId40" Type="http://schemas.openxmlformats.org/officeDocument/2006/relationships/ctrlProp" Target="../ctrlProps/ctrlProp217.xml"/><Relationship Id="rId45" Type="http://schemas.openxmlformats.org/officeDocument/2006/relationships/ctrlProp" Target="../ctrlProps/ctrlProp222.xml"/><Relationship Id="rId66" Type="http://schemas.openxmlformats.org/officeDocument/2006/relationships/ctrlProp" Target="../ctrlProps/ctrlProp243.xml"/><Relationship Id="rId87" Type="http://schemas.openxmlformats.org/officeDocument/2006/relationships/ctrlProp" Target="../ctrlProps/ctrlProp264.xml"/><Relationship Id="rId110" Type="http://schemas.openxmlformats.org/officeDocument/2006/relationships/ctrlProp" Target="../ctrlProps/ctrlProp287.xml"/><Relationship Id="rId115" Type="http://schemas.openxmlformats.org/officeDocument/2006/relationships/ctrlProp" Target="../ctrlProps/ctrlProp292.xml"/><Relationship Id="rId131" Type="http://schemas.openxmlformats.org/officeDocument/2006/relationships/ctrlProp" Target="../ctrlProps/ctrlProp308.xml"/><Relationship Id="rId136" Type="http://schemas.openxmlformats.org/officeDocument/2006/relationships/ctrlProp" Target="../ctrlProps/ctrlProp313.xml"/><Relationship Id="rId157" Type="http://schemas.openxmlformats.org/officeDocument/2006/relationships/ctrlProp" Target="../ctrlProps/ctrlProp334.xml"/><Relationship Id="rId178" Type="http://schemas.openxmlformats.org/officeDocument/2006/relationships/ctrlProp" Target="../ctrlProps/ctrlProp355.xml"/><Relationship Id="rId61" Type="http://schemas.openxmlformats.org/officeDocument/2006/relationships/ctrlProp" Target="../ctrlProps/ctrlProp238.xml"/><Relationship Id="rId82" Type="http://schemas.openxmlformats.org/officeDocument/2006/relationships/ctrlProp" Target="../ctrlProps/ctrlProp259.xml"/><Relationship Id="rId152" Type="http://schemas.openxmlformats.org/officeDocument/2006/relationships/ctrlProp" Target="../ctrlProps/ctrlProp329.xml"/><Relationship Id="rId173" Type="http://schemas.openxmlformats.org/officeDocument/2006/relationships/ctrlProp" Target="../ctrlProps/ctrlProp350.xml"/><Relationship Id="rId19" Type="http://schemas.openxmlformats.org/officeDocument/2006/relationships/ctrlProp" Target="../ctrlProps/ctrlProp196.xml"/><Relationship Id="rId14" Type="http://schemas.openxmlformats.org/officeDocument/2006/relationships/ctrlProp" Target="../ctrlProps/ctrlProp191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56" Type="http://schemas.openxmlformats.org/officeDocument/2006/relationships/ctrlProp" Target="../ctrlProps/ctrlProp233.xml"/><Relationship Id="rId77" Type="http://schemas.openxmlformats.org/officeDocument/2006/relationships/ctrlProp" Target="../ctrlProps/ctrlProp254.xml"/><Relationship Id="rId100" Type="http://schemas.openxmlformats.org/officeDocument/2006/relationships/ctrlProp" Target="../ctrlProps/ctrlProp277.xml"/><Relationship Id="rId105" Type="http://schemas.openxmlformats.org/officeDocument/2006/relationships/ctrlProp" Target="../ctrlProps/ctrlProp282.xml"/><Relationship Id="rId126" Type="http://schemas.openxmlformats.org/officeDocument/2006/relationships/ctrlProp" Target="../ctrlProps/ctrlProp303.xml"/><Relationship Id="rId147" Type="http://schemas.openxmlformats.org/officeDocument/2006/relationships/ctrlProp" Target="../ctrlProps/ctrlProp324.xml"/><Relationship Id="rId168" Type="http://schemas.openxmlformats.org/officeDocument/2006/relationships/ctrlProp" Target="../ctrlProps/ctrlProp345.xml"/><Relationship Id="rId8" Type="http://schemas.openxmlformats.org/officeDocument/2006/relationships/ctrlProp" Target="../ctrlProps/ctrlProp185.xml"/><Relationship Id="rId51" Type="http://schemas.openxmlformats.org/officeDocument/2006/relationships/ctrlProp" Target="../ctrlProps/ctrlProp228.xml"/><Relationship Id="rId72" Type="http://schemas.openxmlformats.org/officeDocument/2006/relationships/ctrlProp" Target="../ctrlProps/ctrlProp249.xml"/><Relationship Id="rId93" Type="http://schemas.openxmlformats.org/officeDocument/2006/relationships/ctrlProp" Target="../ctrlProps/ctrlProp270.xml"/><Relationship Id="rId98" Type="http://schemas.openxmlformats.org/officeDocument/2006/relationships/ctrlProp" Target="../ctrlProps/ctrlProp275.xml"/><Relationship Id="rId121" Type="http://schemas.openxmlformats.org/officeDocument/2006/relationships/ctrlProp" Target="../ctrlProps/ctrlProp298.xml"/><Relationship Id="rId142" Type="http://schemas.openxmlformats.org/officeDocument/2006/relationships/ctrlProp" Target="../ctrlProps/ctrlProp319.xml"/><Relationship Id="rId163" Type="http://schemas.openxmlformats.org/officeDocument/2006/relationships/ctrlProp" Target="../ctrlProps/ctrlProp340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202.xml"/><Relationship Id="rId46" Type="http://schemas.openxmlformats.org/officeDocument/2006/relationships/ctrlProp" Target="../ctrlProps/ctrlProp223.xml"/><Relationship Id="rId67" Type="http://schemas.openxmlformats.org/officeDocument/2006/relationships/ctrlProp" Target="../ctrlProps/ctrlProp244.xml"/><Relationship Id="rId116" Type="http://schemas.openxmlformats.org/officeDocument/2006/relationships/ctrlProp" Target="../ctrlProps/ctrlProp293.xml"/><Relationship Id="rId137" Type="http://schemas.openxmlformats.org/officeDocument/2006/relationships/ctrlProp" Target="../ctrlProps/ctrlProp314.xml"/><Relationship Id="rId158" Type="http://schemas.openxmlformats.org/officeDocument/2006/relationships/ctrlProp" Target="../ctrlProps/ctrlProp335.xml"/><Relationship Id="rId20" Type="http://schemas.openxmlformats.org/officeDocument/2006/relationships/ctrlProp" Target="../ctrlProps/ctrlProp197.xml"/><Relationship Id="rId41" Type="http://schemas.openxmlformats.org/officeDocument/2006/relationships/ctrlProp" Target="../ctrlProps/ctrlProp218.xml"/><Relationship Id="rId62" Type="http://schemas.openxmlformats.org/officeDocument/2006/relationships/ctrlProp" Target="../ctrlProps/ctrlProp239.xml"/><Relationship Id="rId83" Type="http://schemas.openxmlformats.org/officeDocument/2006/relationships/ctrlProp" Target="../ctrlProps/ctrlProp260.xml"/><Relationship Id="rId88" Type="http://schemas.openxmlformats.org/officeDocument/2006/relationships/ctrlProp" Target="../ctrlProps/ctrlProp265.xml"/><Relationship Id="rId111" Type="http://schemas.openxmlformats.org/officeDocument/2006/relationships/ctrlProp" Target="../ctrlProps/ctrlProp288.xml"/><Relationship Id="rId132" Type="http://schemas.openxmlformats.org/officeDocument/2006/relationships/ctrlProp" Target="../ctrlProps/ctrlProp309.xml"/><Relationship Id="rId153" Type="http://schemas.openxmlformats.org/officeDocument/2006/relationships/ctrlProp" Target="../ctrlProps/ctrlProp330.xml"/><Relationship Id="rId174" Type="http://schemas.openxmlformats.org/officeDocument/2006/relationships/ctrlProp" Target="../ctrlProps/ctrlProp351.xml"/><Relationship Id="rId179" Type="http://schemas.openxmlformats.org/officeDocument/2006/relationships/ctrlProp" Target="../ctrlProps/ctrlProp356.xml"/><Relationship Id="rId15" Type="http://schemas.openxmlformats.org/officeDocument/2006/relationships/ctrlProp" Target="../ctrlProps/ctrlProp192.xml"/><Relationship Id="rId36" Type="http://schemas.openxmlformats.org/officeDocument/2006/relationships/ctrlProp" Target="../ctrlProps/ctrlProp213.xml"/><Relationship Id="rId57" Type="http://schemas.openxmlformats.org/officeDocument/2006/relationships/ctrlProp" Target="../ctrlProps/ctrlProp234.xml"/><Relationship Id="rId106" Type="http://schemas.openxmlformats.org/officeDocument/2006/relationships/ctrlProp" Target="../ctrlProps/ctrlProp283.xml"/><Relationship Id="rId127" Type="http://schemas.openxmlformats.org/officeDocument/2006/relationships/ctrlProp" Target="../ctrlProps/ctrlProp304.xml"/><Relationship Id="rId10" Type="http://schemas.openxmlformats.org/officeDocument/2006/relationships/ctrlProp" Target="../ctrlProps/ctrlProp187.xml"/><Relationship Id="rId31" Type="http://schemas.openxmlformats.org/officeDocument/2006/relationships/ctrlProp" Target="../ctrlProps/ctrlProp208.xml"/><Relationship Id="rId52" Type="http://schemas.openxmlformats.org/officeDocument/2006/relationships/ctrlProp" Target="../ctrlProps/ctrlProp229.xml"/><Relationship Id="rId73" Type="http://schemas.openxmlformats.org/officeDocument/2006/relationships/ctrlProp" Target="../ctrlProps/ctrlProp250.xml"/><Relationship Id="rId78" Type="http://schemas.openxmlformats.org/officeDocument/2006/relationships/ctrlProp" Target="../ctrlProps/ctrlProp255.xml"/><Relationship Id="rId94" Type="http://schemas.openxmlformats.org/officeDocument/2006/relationships/ctrlProp" Target="../ctrlProps/ctrlProp271.xml"/><Relationship Id="rId99" Type="http://schemas.openxmlformats.org/officeDocument/2006/relationships/ctrlProp" Target="../ctrlProps/ctrlProp276.xml"/><Relationship Id="rId101" Type="http://schemas.openxmlformats.org/officeDocument/2006/relationships/ctrlProp" Target="../ctrlProps/ctrlProp278.xml"/><Relationship Id="rId122" Type="http://schemas.openxmlformats.org/officeDocument/2006/relationships/ctrlProp" Target="../ctrlProps/ctrlProp299.xml"/><Relationship Id="rId143" Type="http://schemas.openxmlformats.org/officeDocument/2006/relationships/ctrlProp" Target="../ctrlProps/ctrlProp320.xml"/><Relationship Id="rId148" Type="http://schemas.openxmlformats.org/officeDocument/2006/relationships/ctrlProp" Target="../ctrlProps/ctrlProp325.xml"/><Relationship Id="rId164" Type="http://schemas.openxmlformats.org/officeDocument/2006/relationships/ctrlProp" Target="../ctrlProps/ctrlProp341.xml"/><Relationship Id="rId169" Type="http://schemas.openxmlformats.org/officeDocument/2006/relationships/ctrlProp" Target="../ctrlProps/ctrlProp346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83.xml"/><Relationship Id="rId117" Type="http://schemas.openxmlformats.org/officeDocument/2006/relationships/ctrlProp" Target="../ctrlProps/ctrlProp474.xml"/><Relationship Id="rId21" Type="http://schemas.openxmlformats.org/officeDocument/2006/relationships/ctrlProp" Target="../ctrlProps/ctrlProp378.xml"/><Relationship Id="rId42" Type="http://schemas.openxmlformats.org/officeDocument/2006/relationships/ctrlProp" Target="../ctrlProps/ctrlProp399.xml"/><Relationship Id="rId47" Type="http://schemas.openxmlformats.org/officeDocument/2006/relationships/ctrlProp" Target="../ctrlProps/ctrlProp404.xml"/><Relationship Id="rId63" Type="http://schemas.openxmlformats.org/officeDocument/2006/relationships/ctrlProp" Target="../ctrlProps/ctrlProp420.xml"/><Relationship Id="rId68" Type="http://schemas.openxmlformats.org/officeDocument/2006/relationships/ctrlProp" Target="../ctrlProps/ctrlProp425.xml"/><Relationship Id="rId84" Type="http://schemas.openxmlformats.org/officeDocument/2006/relationships/ctrlProp" Target="../ctrlProps/ctrlProp441.xml"/><Relationship Id="rId89" Type="http://schemas.openxmlformats.org/officeDocument/2006/relationships/ctrlProp" Target="../ctrlProps/ctrlProp446.xml"/><Relationship Id="rId112" Type="http://schemas.openxmlformats.org/officeDocument/2006/relationships/ctrlProp" Target="../ctrlProps/ctrlProp469.xml"/><Relationship Id="rId133" Type="http://schemas.openxmlformats.org/officeDocument/2006/relationships/ctrlProp" Target="../ctrlProps/ctrlProp490.xml"/><Relationship Id="rId138" Type="http://schemas.openxmlformats.org/officeDocument/2006/relationships/ctrlProp" Target="../ctrlProps/ctrlProp495.xml"/><Relationship Id="rId154" Type="http://schemas.openxmlformats.org/officeDocument/2006/relationships/ctrlProp" Target="../ctrlProps/ctrlProp511.xml"/><Relationship Id="rId159" Type="http://schemas.openxmlformats.org/officeDocument/2006/relationships/ctrlProp" Target="../ctrlProps/ctrlProp516.xml"/><Relationship Id="rId175" Type="http://schemas.openxmlformats.org/officeDocument/2006/relationships/ctrlProp" Target="../ctrlProps/ctrlProp532.xml"/><Relationship Id="rId170" Type="http://schemas.openxmlformats.org/officeDocument/2006/relationships/ctrlProp" Target="../ctrlProps/ctrlProp527.xml"/><Relationship Id="rId16" Type="http://schemas.openxmlformats.org/officeDocument/2006/relationships/ctrlProp" Target="../ctrlProps/ctrlProp373.xml"/><Relationship Id="rId107" Type="http://schemas.openxmlformats.org/officeDocument/2006/relationships/ctrlProp" Target="../ctrlProps/ctrlProp464.xml"/><Relationship Id="rId11" Type="http://schemas.openxmlformats.org/officeDocument/2006/relationships/ctrlProp" Target="../ctrlProps/ctrlProp368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3" Type="http://schemas.openxmlformats.org/officeDocument/2006/relationships/ctrlProp" Target="../ctrlProps/ctrlProp410.xml"/><Relationship Id="rId58" Type="http://schemas.openxmlformats.org/officeDocument/2006/relationships/ctrlProp" Target="../ctrlProps/ctrlProp415.xml"/><Relationship Id="rId74" Type="http://schemas.openxmlformats.org/officeDocument/2006/relationships/ctrlProp" Target="../ctrlProps/ctrlProp431.xml"/><Relationship Id="rId79" Type="http://schemas.openxmlformats.org/officeDocument/2006/relationships/ctrlProp" Target="../ctrlProps/ctrlProp436.xml"/><Relationship Id="rId102" Type="http://schemas.openxmlformats.org/officeDocument/2006/relationships/ctrlProp" Target="../ctrlProps/ctrlProp459.xml"/><Relationship Id="rId123" Type="http://schemas.openxmlformats.org/officeDocument/2006/relationships/ctrlProp" Target="../ctrlProps/ctrlProp480.xml"/><Relationship Id="rId128" Type="http://schemas.openxmlformats.org/officeDocument/2006/relationships/ctrlProp" Target="../ctrlProps/ctrlProp485.xml"/><Relationship Id="rId144" Type="http://schemas.openxmlformats.org/officeDocument/2006/relationships/ctrlProp" Target="../ctrlProps/ctrlProp501.xml"/><Relationship Id="rId149" Type="http://schemas.openxmlformats.org/officeDocument/2006/relationships/ctrlProp" Target="../ctrlProps/ctrlProp506.xml"/><Relationship Id="rId5" Type="http://schemas.openxmlformats.org/officeDocument/2006/relationships/ctrlProp" Target="../ctrlProps/ctrlProp362.xml"/><Relationship Id="rId90" Type="http://schemas.openxmlformats.org/officeDocument/2006/relationships/ctrlProp" Target="../ctrlProps/ctrlProp447.xml"/><Relationship Id="rId95" Type="http://schemas.openxmlformats.org/officeDocument/2006/relationships/ctrlProp" Target="../ctrlProps/ctrlProp452.xml"/><Relationship Id="rId160" Type="http://schemas.openxmlformats.org/officeDocument/2006/relationships/ctrlProp" Target="../ctrlProps/ctrlProp517.xml"/><Relationship Id="rId165" Type="http://schemas.openxmlformats.org/officeDocument/2006/relationships/ctrlProp" Target="../ctrlProps/ctrlProp522.xml"/><Relationship Id="rId181" Type="http://schemas.openxmlformats.org/officeDocument/2006/relationships/ctrlProp" Target="../ctrlProps/ctrlProp538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43" Type="http://schemas.openxmlformats.org/officeDocument/2006/relationships/ctrlProp" Target="../ctrlProps/ctrlProp400.xml"/><Relationship Id="rId48" Type="http://schemas.openxmlformats.org/officeDocument/2006/relationships/ctrlProp" Target="../ctrlProps/ctrlProp405.xml"/><Relationship Id="rId64" Type="http://schemas.openxmlformats.org/officeDocument/2006/relationships/ctrlProp" Target="../ctrlProps/ctrlProp421.xml"/><Relationship Id="rId69" Type="http://schemas.openxmlformats.org/officeDocument/2006/relationships/ctrlProp" Target="../ctrlProps/ctrlProp426.xml"/><Relationship Id="rId113" Type="http://schemas.openxmlformats.org/officeDocument/2006/relationships/ctrlProp" Target="../ctrlProps/ctrlProp470.xml"/><Relationship Id="rId118" Type="http://schemas.openxmlformats.org/officeDocument/2006/relationships/ctrlProp" Target="../ctrlProps/ctrlProp475.xml"/><Relationship Id="rId134" Type="http://schemas.openxmlformats.org/officeDocument/2006/relationships/ctrlProp" Target="../ctrlProps/ctrlProp491.xml"/><Relationship Id="rId139" Type="http://schemas.openxmlformats.org/officeDocument/2006/relationships/ctrlProp" Target="../ctrlProps/ctrlProp496.xml"/><Relationship Id="rId80" Type="http://schemas.openxmlformats.org/officeDocument/2006/relationships/ctrlProp" Target="../ctrlProps/ctrlProp437.xml"/><Relationship Id="rId85" Type="http://schemas.openxmlformats.org/officeDocument/2006/relationships/ctrlProp" Target="../ctrlProps/ctrlProp442.xml"/><Relationship Id="rId150" Type="http://schemas.openxmlformats.org/officeDocument/2006/relationships/ctrlProp" Target="../ctrlProps/ctrlProp507.xml"/><Relationship Id="rId155" Type="http://schemas.openxmlformats.org/officeDocument/2006/relationships/ctrlProp" Target="../ctrlProps/ctrlProp512.xml"/><Relationship Id="rId171" Type="http://schemas.openxmlformats.org/officeDocument/2006/relationships/ctrlProp" Target="../ctrlProps/ctrlProp528.xml"/><Relationship Id="rId176" Type="http://schemas.openxmlformats.org/officeDocument/2006/relationships/ctrlProp" Target="../ctrlProps/ctrlProp533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59" Type="http://schemas.openxmlformats.org/officeDocument/2006/relationships/ctrlProp" Target="../ctrlProps/ctrlProp416.xml"/><Relationship Id="rId103" Type="http://schemas.openxmlformats.org/officeDocument/2006/relationships/ctrlProp" Target="../ctrlProps/ctrlProp460.xml"/><Relationship Id="rId108" Type="http://schemas.openxmlformats.org/officeDocument/2006/relationships/ctrlProp" Target="../ctrlProps/ctrlProp465.xml"/><Relationship Id="rId124" Type="http://schemas.openxmlformats.org/officeDocument/2006/relationships/ctrlProp" Target="../ctrlProps/ctrlProp481.xml"/><Relationship Id="rId129" Type="http://schemas.openxmlformats.org/officeDocument/2006/relationships/ctrlProp" Target="../ctrlProps/ctrlProp486.xml"/><Relationship Id="rId54" Type="http://schemas.openxmlformats.org/officeDocument/2006/relationships/ctrlProp" Target="../ctrlProps/ctrlProp411.xml"/><Relationship Id="rId70" Type="http://schemas.openxmlformats.org/officeDocument/2006/relationships/ctrlProp" Target="../ctrlProps/ctrlProp427.xml"/><Relationship Id="rId75" Type="http://schemas.openxmlformats.org/officeDocument/2006/relationships/ctrlProp" Target="../ctrlProps/ctrlProp432.xml"/><Relationship Id="rId91" Type="http://schemas.openxmlformats.org/officeDocument/2006/relationships/ctrlProp" Target="../ctrlProps/ctrlProp448.xml"/><Relationship Id="rId96" Type="http://schemas.openxmlformats.org/officeDocument/2006/relationships/ctrlProp" Target="../ctrlProps/ctrlProp453.xml"/><Relationship Id="rId140" Type="http://schemas.openxmlformats.org/officeDocument/2006/relationships/ctrlProp" Target="../ctrlProps/ctrlProp497.xml"/><Relationship Id="rId145" Type="http://schemas.openxmlformats.org/officeDocument/2006/relationships/ctrlProp" Target="../ctrlProps/ctrlProp502.xml"/><Relationship Id="rId161" Type="http://schemas.openxmlformats.org/officeDocument/2006/relationships/ctrlProp" Target="../ctrlProps/ctrlProp518.xml"/><Relationship Id="rId166" Type="http://schemas.openxmlformats.org/officeDocument/2006/relationships/ctrlProp" Target="../ctrlProps/ctrlProp523.xml"/><Relationship Id="rId182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63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49" Type="http://schemas.openxmlformats.org/officeDocument/2006/relationships/ctrlProp" Target="../ctrlProps/ctrlProp406.xml"/><Relationship Id="rId114" Type="http://schemas.openxmlformats.org/officeDocument/2006/relationships/ctrlProp" Target="../ctrlProps/ctrlProp471.xml"/><Relationship Id="rId119" Type="http://schemas.openxmlformats.org/officeDocument/2006/relationships/ctrlProp" Target="../ctrlProps/ctrlProp476.xml"/><Relationship Id="rId44" Type="http://schemas.openxmlformats.org/officeDocument/2006/relationships/ctrlProp" Target="../ctrlProps/ctrlProp401.xml"/><Relationship Id="rId60" Type="http://schemas.openxmlformats.org/officeDocument/2006/relationships/ctrlProp" Target="../ctrlProps/ctrlProp417.xml"/><Relationship Id="rId65" Type="http://schemas.openxmlformats.org/officeDocument/2006/relationships/ctrlProp" Target="../ctrlProps/ctrlProp422.xml"/><Relationship Id="rId81" Type="http://schemas.openxmlformats.org/officeDocument/2006/relationships/ctrlProp" Target="../ctrlProps/ctrlProp438.xml"/><Relationship Id="rId86" Type="http://schemas.openxmlformats.org/officeDocument/2006/relationships/ctrlProp" Target="../ctrlProps/ctrlProp443.xml"/><Relationship Id="rId130" Type="http://schemas.openxmlformats.org/officeDocument/2006/relationships/ctrlProp" Target="../ctrlProps/ctrlProp487.xml"/><Relationship Id="rId135" Type="http://schemas.openxmlformats.org/officeDocument/2006/relationships/ctrlProp" Target="../ctrlProps/ctrlProp492.xml"/><Relationship Id="rId151" Type="http://schemas.openxmlformats.org/officeDocument/2006/relationships/ctrlProp" Target="../ctrlProps/ctrlProp508.xml"/><Relationship Id="rId156" Type="http://schemas.openxmlformats.org/officeDocument/2006/relationships/ctrlProp" Target="../ctrlProps/ctrlProp513.xml"/><Relationship Id="rId177" Type="http://schemas.openxmlformats.org/officeDocument/2006/relationships/ctrlProp" Target="../ctrlProps/ctrlProp534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72" Type="http://schemas.openxmlformats.org/officeDocument/2006/relationships/ctrlProp" Target="../ctrlProps/ctrlProp529.xml"/><Relationship Id="rId180" Type="http://schemas.openxmlformats.org/officeDocument/2006/relationships/ctrlProp" Target="../ctrlProps/ctrlProp537.xml"/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39" Type="http://schemas.openxmlformats.org/officeDocument/2006/relationships/ctrlProp" Target="../ctrlProps/ctrlProp396.xml"/><Relationship Id="rId109" Type="http://schemas.openxmlformats.org/officeDocument/2006/relationships/ctrlProp" Target="../ctrlProps/ctrlProp466.xml"/><Relationship Id="rId34" Type="http://schemas.openxmlformats.org/officeDocument/2006/relationships/ctrlProp" Target="../ctrlProps/ctrlProp391.xml"/><Relationship Id="rId50" Type="http://schemas.openxmlformats.org/officeDocument/2006/relationships/ctrlProp" Target="../ctrlProps/ctrlProp407.xml"/><Relationship Id="rId55" Type="http://schemas.openxmlformats.org/officeDocument/2006/relationships/ctrlProp" Target="../ctrlProps/ctrlProp412.xml"/><Relationship Id="rId76" Type="http://schemas.openxmlformats.org/officeDocument/2006/relationships/ctrlProp" Target="../ctrlProps/ctrlProp433.xml"/><Relationship Id="rId97" Type="http://schemas.openxmlformats.org/officeDocument/2006/relationships/ctrlProp" Target="../ctrlProps/ctrlProp454.xml"/><Relationship Id="rId104" Type="http://schemas.openxmlformats.org/officeDocument/2006/relationships/ctrlProp" Target="../ctrlProps/ctrlProp461.xml"/><Relationship Id="rId120" Type="http://schemas.openxmlformats.org/officeDocument/2006/relationships/ctrlProp" Target="../ctrlProps/ctrlProp477.xml"/><Relationship Id="rId125" Type="http://schemas.openxmlformats.org/officeDocument/2006/relationships/ctrlProp" Target="../ctrlProps/ctrlProp482.xml"/><Relationship Id="rId141" Type="http://schemas.openxmlformats.org/officeDocument/2006/relationships/ctrlProp" Target="../ctrlProps/ctrlProp498.xml"/><Relationship Id="rId146" Type="http://schemas.openxmlformats.org/officeDocument/2006/relationships/ctrlProp" Target="../ctrlProps/ctrlProp503.xml"/><Relationship Id="rId167" Type="http://schemas.openxmlformats.org/officeDocument/2006/relationships/ctrlProp" Target="../ctrlProps/ctrlProp524.xml"/><Relationship Id="rId7" Type="http://schemas.openxmlformats.org/officeDocument/2006/relationships/ctrlProp" Target="../ctrlProps/ctrlProp364.xml"/><Relationship Id="rId71" Type="http://schemas.openxmlformats.org/officeDocument/2006/relationships/ctrlProp" Target="../ctrlProps/ctrlProp428.xml"/><Relationship Id="rId92" Type="http://schemas.openxmlformats.org/officeDocument/2006/relationships/ctrlProp" Target="../ctrlProps/ctrlProp449.xml"/><Relationship Id="rId162" Type="http://schemas.openxmlformats.org/officeDocument/2006/relationships/ctrlProp" Target="../ctrlProps/ctrlProp519.xml"/><Relationship Id="rId183" Type="http://schemas.openxmlformats.org/officeDocument/2006/relationships/ctrlProp" Target="../ctrlProps/ctrlProp540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86.xml"/><Relationship Id="rId24" Type="http://schemas.openxmlformats.org/officeDocument/2006/relationships/ctrlProp" Target="../ctrlProps/ctrlProp381.xml"/><Relationship Id="rId40" Type="http://schemas.openxmlformats.org/officeDocument/2006/relationships/ctrlProp" Target="../ctrlProps/ctrlProp397.xml"/><Relationship Id="rId45" Type="http://schemas.openxmlformats.org/officeDocument/2006/relationships/ctrlProp" Target="../ctrlProps/ctrlProp402.xml"/><Relationship Id="rId66" Type="http://schemas.openxmlformats.org/officeDocument/2006/relationships/ctrlProp" Target="../ctrlProps/ctrlProp423.xml"/><Relationship Id="rId87" Type="http://schemas.openxmlformats.org/officeDocument/2006/relationships/ctrlProp" Target="../ctrlProps/ctrlProp444.xml"/><Relationship Id="rId110" Type="http://schemas.openxmlformats.org/officeDocument/2006/relationships/ctrlProp" Target="../ctrlProps/ctrlProp467.xml"/><Relationship Id="rId115" Type="http://schemas.openxmlformats.org/officeDocument/2006/relationships/ctrlProp" Target="../ctrlProps/ctrlProp472.xml"/><Relationship Id="rId131" Type="http://schemas.openxmlformats.org/officeDocument/2006/relationships/ctrlProp" Target="../ctrlProps/ctrlProp488.xml"/><Relationship Id="rId136" Type="http://schemas.openxmlformats.org/officeDocument/2006/relationships/ctrlProp" Target="../ctrlProps/ctrlProp493.xml"/><Relationship Id="rId157" Type="http://schemas.openxmlformats.org/officeDocument/2006/relationships/ctrlProp" Target="../ctrlProps/ctrlProp514.xml"/><Relationship Id="rId178" Type="http://schemas.openxmlformats.org/officeDocument/2006/relationships/ctrlProp" Target="../ctrlProps/ctrlProp535.xml"/><Relationship Id="rId61" Type="http://schemas.openxmlformats.org/officeDocument/2006/relationships/ctrlProp" Target="../ctrlProps/ctrlProp418.xml"/><Relationship Id="rId82" Type="http://schemas.openxmlformats.org/officeDocument/2006/relationships/ctrlProp" Target="../ctrlProps/ctrlProp439.xml"/><Relationship Id="rId152" Type="http://schemas.openxmlformats.org/officeDocument/2006/relationships/ctrlProp" Target="../ctrlProps/ctrlProp509.xml"/><Relationship Id="rId173" Type="http://schemas.openxmlformats.org/officeDocument/2006/relationships/ctrlProp" Target="../ctrlProps/ctrlProp530.xml"/><Relationship Id="rId19" Type="http://schemas.openxmlformats.org/officeDocument/2006/relationships/ctrlProp" Target="../ctrlProps/ctrlProp376.xml"/><Relationship Id="rId14" Type="http://schemas.openxmlformats.org/officeDocument/2006/relationships/ctrlProp" Target="../ctrlProps/ctrlProp371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56" Type="http://schemas.openxmlformats.org/officeDocument/2006/relationships/ctrlProp" Target="../ctrlProps/ctrlProp413.xml"/><Relationship Id="rId77" Type="http://schemas.openxmlformats.org/officeDocument/2006/relationships/ctrlProp" Target="../ctrlProps/ctrlProp434.xml"/><Relationship Id="rId100" Type="http://schemas.openxmlformats.org/officeDocument/2006/relationships/ctrlProp" Target="../ctrlProps/ctrlProp457.xml"/><Relationship Id="rId105" Type="http://schemas.openxmlformats.org/officeDocument/2006/relationships/ctrlProp" Target="../ctrlProps/ctrlProp462.xml"/><Relationship Id="rId126" Type="http://schemas.openxmlformats.org/officeDocument/2006/relationships/ctrlProp" Target="../ctrlProps/ctrlProp483.xml"/><Relationship Id="rId147" Type="http://schemas.openxmlformats.org/officeDocument/2006/relationships/ctrlProp" Target="../ctrlProps/ctrlProp504.xml"/><Relationship Id="rId168" Type="http://schemas.openxmlformats.org/officeDocument/2006/relationships/ctrlProp" Target="../ctrlProps/ctrlProp525.xml"/><Relationship Id="rId8" Type="http://schemas.openxmlformats.org/officeDocument/2006/relationships/ctrlProp" Target="../ctrlProps/ctrlProp365.xml"/><Relationship Id="rId51" Type="http://schemas.openxmlformats.org/officeDocument/2006/relationships/ctrlProp" Target="../ctrlProps/ctrlProp408.xml"/><Relationship Id="rId72" Type="http://schemas.openxmlformats.org/officeDocument/2006/relationships/ctrlProp" Target="../ctrlProps/ctrlProp429.xml"/><Relationship Id="rId93" Type="http://schemas.openxmlformats.org/officeDocument/2006/relationships/ctrlProp" Target="../ctrlProps/ctrlProp450.xml"/><Relationship Id="rId98" Type="http://schemas.openxmlformats.org/officeDocument/2006/relationships/ctrlProp" Target="../ctrlProps/ctrlProp455.xml"/><Relationship Id="rId121" Type="http://schemas.openxmlformats.org/officeDocument/2006/relationships/ctrlProp" Target="../ctrlProps/ctrlProp478.xml"/><Relationship Id="rId142" Type="http://schemas.openxmlformats.org/officeDocument/2006/relationships/ctrlProp" Target="../ctrlProps/ctrlProp499.xml"/><Relationship Id="rId163" Type="http://schemas.openxmlformats.org/officeDocument/2006/relationships/ctrlProp" Target="../ctrlProps/ctrlProp520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382.xml"/><Relationship Id="rId46" Type="http://schemas.openxmlformats.org/officeDocument/2006/relationships/ctrlProp" Target="../ctrlProps/ctrlProp403.xml"/><Relationship Id="rId67" Type="http://schemas.openxmlformats.org/officeDocument/2006/relationships/ctrlProp" Target="../ctrlProps/ctrlProp424.xml"/><Relationship Id="rId116" Type="http://schemas.openxmlformats.org/officeDocument/2006/relationships/ctrlProp" Target="../ctrlProps/ctrlProp473.xml"/><Relationship Id="rId137" Type="http://schemas.openxmlformats.org/officeDocument/2006/relationships/ctrlProp" Target="../ctrlProps/ctrlProp494.xml"/><Relationship Id="rId158" Type="http://schemas.openxmlformats.org/officeDocument/2006/relationships/ctrlProp" Target="../ctrlProps/ctrlProp515.xml"/><Relationship Id="rId20" Type="http://schemas.openxmlformats.org/officeDocument/2006/relationships/ctrlProp" Target="../ctrlProps/ctrlProp377.xml"/><Relationship Id="rId41" Type="http://schemas.openxmlformats.org/officeDocument/2006/relationships/ctrlProp" Target="../ctrlProps/ctrlProp398.xml"/><Relationship Id="rId62" Type="http://schemas.openxmlformats.org/officeDocument/2006/relationships/ctrlProp" Target="../ctrlProps/ctrlProp419.xml"/><Relationship Id="rId83" Type="http://schemas.openxmlformats.org/officeDocument/2006/relationships/ctrlProp" Target="../ctrlProps/ctrlProp440.xml"/><Relationship Id="rId88" Type="http://schemas.openxmlformats.org/officeDocument/2006/relationships/ctrlProp" Target="../ctrlProps/ctrlProp445.xml"/><Relationship Id="rId111" Type="http://schemas.openxmlformats.org/officeDocument/2006/relationships/ctrlProp" Target="../ctrlProps/ctrlProp468.xml"/><Relationship Id="rId132" Type="http://schemas.openxmlformats.org/officeDocument/2006/relationships/ctrlProp" Target="../ctrlProps/ctrlProp489.xml"/><Relationship Id="rId153" Type="http://schemas.openxmlformats.org/officeDocument/2006/relationships/ctrlProp" Target="../ctrlProps/ctrlProp510.xml"/><Relationship Id="rId174" Type="http://schemas.openxmlformats.org/officeDocument/2006/relationships/ctrlProp" Target="../ctrlProps/ctrlProp531.xml"/><Relationship Id="rId179" Type="http://schemas.openxmlformats.org/officeDocument/2006/relationships/ctrlProp" Target="../ctrlProps/ctrlProp536.xml"/><Relationship Id="rId15" Type="http://schemas.openxmlformats.org/officeDocument/2006/relationships/ctrlProp" Target="../ctrlProps/ctrlProp372.xml"/><Relationship Id="rId36" Type="http://schemas.openxmlformats.org/officeDocument/2006/relationships/ctrlProp" Target="../ctrlProps/ctrlProp393.xml"/><Relationship Id="rId57" Type="http://schemas.openxmlformats.org/officeDocument/2006/relationships/ctrlProp" Target="../ctrlProps/ctrlProp414.xml"/><Relationship Id="rId106" Type="http://schemas.openxmlformats.org/officeDocument/2006/relationships/ctrlProp" Target="../ctrlProps/ctrlProp463.xml"/><Relationship Id="rId127" Type="http://schemas.openxmlformats.org/officeDocument/2006/relationships/ctrlProp" Target="../ctrlProps/ctrlProp484.xml"/><Relationship Id="rId10" Type="http://schemas.openxmlformats.org/officeDocument/2006/relationships/ctrlProp" Target="../ctrlProps/ctrlProp367.xml"/><Relationship Id="rId31" Type="http://schemas.openxmlformats.org/officeDocument/2006/relationships/ctrlProp" Target="../ctrlProps/ctrlProp388.xml"/><Relationship Id="rId52" Type="http://schemas.openxmlformats.org/officeDocument/2006/relationships/ctrlProp" Target="../ctrlProps/ctrlProp409.xml"/><Relationship Id="rId73" Type="http://schemas.openxmlformats.org/officeDocument/2006/relationships/ctrlProp" Target="../ctrlProps/ctrlProp430.xml"/><Relationship Id="rId78" Type="http://schemas.openxmlformats.org/officeDocument/2006/relationships/ctrlProp" Target="../ctrlProps/ctrlProp435.xml"/><Relationship Id="rId94" Type="http://schemas.openxmlformats.org/officeDocument/2006/relationships/ctrlProp" Target="../ctrlProps/ctrlProp451.xml"/><Relationship Id="rId99" Type="http://schemas.openxmlformats.org/officeDocument/2006/relationships/ctrlProp" Target="../ctrlProps/ctrlProp456.xml"/><Relationship Id="rId101" Type="http://schemas.openxmlformats.org/officeDocument/2006/relationships/ctrlProp" Target="../ctrlProps/ctrlProp458.xml"/><Relationship Id="rId122" Type="http://schemas.openxmlformats.org/officeDocument/2006/relationships/ctrlProp" Target="../ctrlProps/ctrlProp479.xml"/><Relationship Id="rId143" Type="http://schemas.openxmlformats.org/officeDocument/2006/relationships/ctrlProp" Target="../ctrlProps/ctrlProp500.xml"/><Relationship Id="rId148" Type="http://schemas.openxmlformats.org/officeDocument/2006/relationships/ctrlProp" Target="../ctrlProps/ctrlProp505.xml"/><Relationship Id="rId164" Type="http://schemas.openxmlformats.org/officeDocument/2006/relationships/ctrlProp" Target="../ctrlProps/ctrlProp521.xml"/><Relationship Id="rId169" Type="http://schemas.openxmlformats.org/officeDocument/2006/relationships/ctrlProp" Target="../ctrlProps/ctrlProp52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3.xml"/><Relationship Id="rId117" Type="http://schemas.openxmlformats.org/officeDocument/2006/relationships/ctrlProp" Target="../ctrlProps/ctrlProp654.xml"/><Relationship Id="rId21" Type="http://schemas.openxmlformats.org/officeDocument/2006/relationships/ctrlProp" Target="../ctrlProps/ctrlProp558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84" Type="http://schemas.openxmlformats.org/officeDocument/2006/relationships/ctrlProp" Target="../ctrlProps/ctrlProp621.xml"/><Relationship Id="rId89" Type="http://schemas.openxmlformats.org/officeDocument/2006/relationships/ctrlProp" Target="../ctrlProps/ctrlProp626.xml"/><Relationship Id="rId112" Type="http://schemas.openxmlformats.org/officeDocument/2006/relationships/ctrlProp" Target="../ctrlProps/ctrlProp649.xml"/><Relationship Id="rId133" Type="http://schemas.openxmlformats.org/officeDocument/2006/relationships/ctrlProp" Target="../ctrlProps/ctrlProp670.xml"/><Relationship Id="rId138" Type="http://schemas.openxmlformats.org/officeDocument/2006/relationships/ctrlProp" Target="../ctrlProps/ctrlProp675.xml"/><Relationship Id="rId154" Type="http://schemas.openxmlformats.org/officeDocument/2006/relationships/ctrlProp" Target="../ctrlProps/ctrlProp691.xml"/><Relationship Id="rId159" Type="http://schemas.openxmlformats.org/officeDocument/2006/relationships/ctrlProp" Target="../ctrlProps/ctrlProp696.xml"/><Relationship Id="rId175" Type="http://schemas.openxmlformats.org/officeDocument/2006/relationships/ctrlProp" Target="../ctrlProps/ctrlProp712.xml"/><Relationship Id="rId170" Type="http://schemas.openxmlformats.org/officeDocument/2006/relationships/ctrlProp" Target="../ctrlProps/ctrlProp707.xml"/><Relationship Id="rId16" Type="http://schemas.openxmlformats.org/officeDocument/2006/relationships/ctrlProp" Target="../ctrlProps/ctrlProp553.xml"/><Relationship Id="rId107" Type="http://schemas.openxmlformats.org/officeDocument/2006/relationships/ctrlProp" Target="../ctrlProps/ctrlProp644.xml"/><Relationship Id="rId11" Type="http://schemas.openxmlformats.org/officeDocument/2006/relationships/ctrlProp" Target="../ctrlProps/ctrlProp548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74" Type="http://schemas.openxmlformats.org/officeDocument/2006/relationships/ctrlProp" Target="../ctrlProps/ctrlProp611.xml"/><Relationship Id="rId79" Type="http://schemas.openxmlformats.org/officeDocument/2006/relationships/ctrlProp" Target="../ctrlProps/ctrlProp616.xml"/><Relationship Id="rId102" Type="http://schemas.openxmlformats.org/officeDocument/2006/relationships/ctrlProp" Target="../ctrlProps/ctrlProp639.xml"/><Relationship Id="rId123" Type="http://schemas.openxmlformats.org/officeDocument/2006/relationships/ctrlProp" Target="../ctrlProps/ctrlProp660.xml"/><Relationship Id="rId128" Type="http://schemas.openxmlformats.org/officeDocument/2006/relationships/ctrlProp" Target="../ctrlProps/ctrlProp665.xml"/><Relationship Id="rId144" Type="http://schemas.openxmlformats.org/officeDocument/2006/relationships/ctrlProp" Target="../ctrlProps/ctrlProp681.xml"/><Relationship Id="rId149" Type="http://schemas.openxmlformats.org/officeDocument/2006/relationships/ctrlProp" Target="../ctrlProps/ctrlProp686.xml"/><Relationship Id="rId5" Type="http://schemas.openxmlformats.org/officeDocument/2006/relationships/ctrlProp" Target="../ctrlProps/ctrlProp542.xml"/><Relationship Id="rId90" Type="http://schemas.openxmlformats.org/officeDocument/2006/relationships/ctrlProp" Target="../ctrlProps/ctrlProp627.xml"/><Relationship Id="rId95" Type="http://schemas.openxmlformats.org/officeDocument/2006/relationships/ctrlProp" Target="../ctrlProps/ctrlProp632.xml"/><Relationship Id="rId160" Type="http://schemas.openxmlformats.org/officeDocument/2006/relationships/ctrlProp" Target="../ctrlProps/ctrlProp697.xml"/><Relationship Id="rId165" Type="http://schemas.openxmlformats.org/officeDocument/2006/relationships/ctrlProp" Target="../ctrlProps/ctrlProp702.xml"/><Relationship Id="rId181" Type="http://schemas.openxmlformats.org/officeDocument/2006/relationships/ctrlProp" Target="../ctrlProps/ctrlProp718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113" Type="http://schemas.openxmlformats.org/officeDocument/2006/relationships/ctrlProp" Target="../ctrlProps/ctrlProp650.xml"/><Relationship Id="rId118" Type="http://schemas.openxmlformats.org/officeDocument/2006/relationships/ctrlProp" Target="../ctrlProps/ctrlProp655.xml"/><Relationship Id="rId134" Type="http://schemas.openxmlformats.org/officeDocument/2006/relationships/ctrlProp" Target="../ctrlProps/ctrlProp671.xml"/><Relationship Id="rId139" Type="http://schemas.openxmlformats.org/officeDocument/2006/relationships/ctrlProp" Target="../ctrlProps/ctrlProp676.xml"/><Relationship Id="rId80" Type="http://schemas.openxmlformats.org/officeDocument/2006/relationships/ctrlProp" Target="../ctrlProps/ctrlProp617.xml"/><Relationship Id="rId85" Type="http://schemas.openxmlformats.org/officeDocument/2006/relationships/ctrlProp" Target="../ctrlProps/ctrlProp622.xml"/><Relationship Id="rId150" Type="http://schemas.openxmlformats.org/officeDocument/2006/relationships/ctrlProp" Target="../ctrlProps/ctrlProp687.xml"/><Relationship Id="rId155" Type="http://schemas.openxmlformats.org/officeDocument/2006/relationships/ctrlProp" Target="../ctrlProps/ctrlProp692.xml"/><Relationship Id="rId171" Type="http://schemas.openxmlformats.org/officeDocument/2006/relationships/ctrlProp" Target="../ctrlProps/ctrlProp708.xml"/><Relationship Id="rId176" Type="http://schemas.openxmlformats.org/officeDocument/2006/relationships/ctrlProp" Target="../ctrlProps/ctrlProp713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59" Type="http://schemas.openxmlformats.org/officeDocument/2006/relationships/ctrlProp" Target="../ctrlProps/ctrlProp596.xml"/><Relationship Id="rId103" Type="http://schemas.openxmlformats.org/officeDocument/2006/relationships/ctrlProp" Target="../ctrlProps/ctrlProp640.xml"/><Relationship Id="rId108" Type="http://schemas.openxmlformats.org/officeDocument/2006/relationships/ctrlProp" Target="../ctrlProps/ctrlProp645.xml"/><Relationship Id="rId124" Type="http://schemas.openxmlformats.org/officeDocument/2006/relationships/ctrlProp" Target="../ctrlProps/ctrlProp661.xml"/><Relationship Id="rId129" Type="http://schemas.openxmlformats.org/officeDocument/2006/relationships/ctrlProp" Target="../ctrlProps/ctrlProp666.xml"/><Relationship Id="rId54" Type="http://schemas.openxmlformats.org/officeDocument/2006/relationships/ctrlProp" Target="../ctrlProps/ctrlProp591.xml"/><Relationship Id="rId70" Type="http://schemas.openxmlformats.org/officeDocument/2006/relationships/ctrlProp" Target="../ctrlProps/ctrlProp607.xml"/><Relationship Id="rId75" Type="http://schemas.openxmlformats.org/officeDocument/2006/relationships/ctrlProp" Target="../ctrlProps/ctrlProp612.xml"/><Relationship Id="rId91" Type="http://schemas.openxmlformats.org/officeDocument/2006/relationships/ctrlProp" Target="../ctrlProps/ctrlProp628.xml"/><Relationship Id="rId96" Type="http://schemas.openxmlformats.org/officeDocument/2006/relationships/ctrlProp" Target="../ctrlProps/ctrlProp633.xml"/><Relationship Id="rId140" Type="http://schemas.openxmlformats.org/officeDocument/2006/relationships/ctrlProp" Target="../ctrlProps/ctrlProp677.xml"/><Relationship Id="rId145" Type="http://schemas.openxmlformats.org/officeDocument/2006/relationships/ctrlProp" Target="../ctrlProps/ctrlProp682.xml"/><Relationship Id="rId161" Type="http://schemas.openxmlformats.org/officeDocument/2006/relationships/ctrlProp" Target="../ctrlProps/ctrlProp698.xml"/><Relationship Id="rId166" Type="http://schemas.openxmlformats.org/officeDocument/2006/relationships/ctrlProp" Target="../ctrlProps/ctrlProp703.xml"/><Relationship Id="rId182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43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49" Type="http://schemas.openxmlformats.org/officeDocument/2006/relationships/ctrlProp" Target="../ctrlProps/ctrlProp586.xml"/><Relationship Id="rId114" Type="http://schemas.openxmlformats.org/officeDocument/2006/relationships/ctrlProp" Target="../ctrlProps/ctrlProp651.xml"/><Relationship Id="rId119" Type="http://schemas.openxmlformats.org/officeDocument/2006/relationships/ctrlProp" Target="../ctrlProps/ctrlProp656.xml"/><Relationship Id="rId44" Type="http://schemas.openxmlformats.org/officeDocument/2006/relationships/ctrlProp" Target="../ctrlProps/ctrlProp581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81" Type="http://schemas.openxmlformats.org/officeDocument/2006/relationships/ctrlProp" Target="../ctrlProps/ctrlProp618.xml"/><Relationship Id="rId86" Type="http://schemas.openxmlformats.org/officeDocument/2006/relationships/ctrlProp" Target="../ctrlProps/ctrlProp623.xml"/><Relationship Id="rId130" Type="http://schemas.openxmlformats.org/officeDocument/2006/relationships/ctrlProp" Target="../ctrlProps/ctrlProp667.xml"/><Relationship Id="rId135" Type="http://schemas.openxmlformats.org/officeDocument/2006/relationships/ctrlProp" Target="../ctrlProps/ctrlProp672.xml"/><Relationship Id="rId151" Type="http://schemas.openxmlformats.org/officeDocument/2006/relationships/ctrlProp" Target="../ctrlProps/ctrlProp688.xml"/><Relationship Id="rId156" Type="http://schemas.openxmlformats.org/officeDocument/2006/relationships/ctrlProp" Target="../ctrlProps/ctrlProp693.xml"/><Relationship Id="rId177" Type="http://schemas.openxmlformats.org/officeDocument/2006/relationships/ctrlProp" Target="../ctrlProps/ctrlProp714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72" Type="http://schemas.openxmlformats.org/officeDocument/2006/relationships/ctrlProp" Target="../ctrlProps/ctrlProp709.xml"/><Relationship Id="rId180" Type="http://schemas.openxmlformats.org/officeDocument/2006/relationships/ctrlProp" Target="../ctrlProps/ctrlProp717.xml"/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39" Type="http://schemas.openxmlformats.org/officeDocument/2006/relationships/ctrlProp" Target="../ctrlProps/ctrlProp576.xml"/><Relationship Id="rId109" Type="http://schemas.openxmlformats.org/officeDocument/2006/relationships/ctrlProp" Target="../ctrlProps/ctrlProp646.xml"/><Relationship Id="rId34" Type="http://schemas.openxmlformats.org/officeDocument/2006/relationships/ctrlProp" Target="../ctrlProps/ctrlProp571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Relationship Id="rId76" Type="http://schemas.openxmlformats.org/officeDocument/2006/relationships/ctrlProp" Target="../ctrlProps/ctrlProp613.xml"/><Relationship Id="rId97" Type="http://schemas.openxmlformats.org/officeDocument/2006/relationships/ctrlProp" Target="../ctrlProps/ctrlProp634.xml"/><Relationship Id="rId104" Type="http://schemas.openxmlformats.org/officeDocument/2006/relationships/ctrlProp" Target="../ctrlProps/ctrlProp641.xml"/><Relationship Id="rId120" Type="http://schemas.openxmlformats.org/officeDocument/2006/relationships/ctrlProp" Target="../ctrlProps/ctrlProp657.xml"/><Relationship Id="rId125" Type="http://schemas.openxmlformats.org/officeDocument/2006/relationships/ctrlProp" Target="../ctrlProps/ctrlProp662.xml"/><Relationship Id="rId141" Type="http://schemas.openxmlformats.org/officeDocument/2006/relationships/ctrlProp" Target="../ctrlProps/ctrlProp678.xml"/><Relationship Id="rId146" Type="http://schemas.openxmlformats.org/officeDocument/2006/relationships/ctrlProp" Target="../ctrlProps/ctrlProp683.xml"/><Relationship Id="rId167" Type="http://schemas.openxmlformats.org/officeDocument/2006/relationships/ctrlProp" Target="../ctrlProps/ctrlProp704.xml"/><Relationship Id="rId7" Type="http://schemas.openxmlformats.org/officeDocument/2006/relationships/ctrlProp" Target="../ctrlProps/ctrlProp544.xml"/><Relationship Id="rId71" Type="http://schemas.openxmlformats.org/officeDocument/2006/relationships/ctrlProp" Target="../ctrlProps/ctrlProp608.xml"/><Relationship Id="rId92" Type="http://schemas.openxmlformats.org/officeDocument/2006/relationships/ctrlProp" Target="../ctrlProps/ctrlProp629.xml"/><Relationship Id="rId162" Type="http://schemas.openxmlformats.org/officeDocument/2006/relationships/ctrlProp" Target="../ctrlProps/ctrlProp699.xml"/><Relationship Id="rId183" Type="http://schemas.openxmlformats.org/officeDocument/2006/relationships/ctrlProp" Target="../ctrlProps/ctrlProp720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566.xml"/><Relationship Id="rId24" Type="http://schemas.openxmlformats.org/officeDocument/2006/relationships/ctrlProp" Target="../ctrlProps/ctrlProp561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66" Type="http://schemas.openxmlformats.org/officeDocument/2006/relationships/ctrlProp" Target="../ctrlProps/ctrlProp603.xml"/><Relationship Id="rId87" Type="http://schemas.openxmlformats.org/officeDocument/2006/relationships/ctrlProp" Target="../ctrlProps/ctrlProp624.xml"/><Relationship Id="rId110" Type="http://schemas.openxmlformats.org/officeDocument/2006/relationships/ctrlProp" Target="../ctrlProps/ctrlProp647.xml"/><Relationship Id="rId115" Type="http://schemas.openxmlformats.org/officeDocument/2006/relationships/ctrlProp" Target="../ctrlProps/ctrlProp652.xml"/><Relationship Id="rId131" Type="http://schemas.openxmlformats.org/officeDocument/2006/relationships/ctrlProp" Target="../ctrlProps/ctrlProp668.xml"/><Relationship Id="rId136" Type="http://schemas.openxmlformats.org/officeDocument/2006/relationships/ctrlProp" Target="../ctrlProps/ctrlProp673.xml"/><Relationship Id="rId157" Type="http://schemas.openxmlformats.org/officeDocument/2006/relationships/ctrlProp" Target="../ctrlProps/ctrlProp694.xml"/><Relationship Id="rId178" Type="http://schemas.openxmlformats.org/officeDocument/2006/relationships/ctrlProp" Target="../ctrlProps/ctrlProp715.xml"/><Relationship Id="rId61" Type="http://schemas.openxmlformats.org/officeDocument/2006/relationships/ctrlProp" Target="../ctrlProps/ctrlProp598.xml"/><Relationship Id="rId82" Type="http://schemas.openxmlformats.org/officeDocument/2006/relationships/ctrlProp" Target="../ctrlProps/ctrlProp619.xml"/><Relationship Id="rId152" Type="http://schemas.openxmlformats.org/officeDocument/2006/relationships/ctrlProp" Target="../ctrlProps/ctrlProp689.xml"/><Relationship Id="rId173" Type="http://schemas.openxmlformats.org/officeDocument/2006/relationships/ctrlProp" Target="../ctrlProps/ctrlProp710.xml"/><Relationship Id="rId19" Type="http://schemas.openxmlformats.org/officeDocument/2006/relationships/ctrlProp" Target="../ctrlProps/ctrlProp556.xml"/><Relationship Id="rId14" Type="http://schemas.openxmlformats.org/officeDocument/2006/relationships/ctrlProp" Target="../ctrlProps/ctrlProp551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56" Type="http://schemas.openxmlformats.org/officeDocument/2006/relationships/ctrlProp" Target="../ctrlProps/ctrlProp593.xml"/><Relationship Id="rId77" Type="http://schemas.openxmlformats.org/officeDocument/2006/relationships/ctrlProp" Target="../ctrlProps/ctrlProp614.xml"/><Relationship Id="rId100" Type="http://schemas.openxmlformats.org/officeDocument/2006/relationships/ctrlProp" Target="../ctrlProps/ctrlProp637.xml"/><Relationship Id="rId105" Type="http://schemas.openxmlformats.org/officeDocument/2006/relationships/ctrlProp" Target="../ctrlProps/ctrlProp642.xml"/><Relationship Id="rId126" Type="http://schemas.openxmlformats.org/officeDocument/2006/relationships/ctrlProp" Target="../ctrlProps/ctrlProp663.xml"/><Relationship Id="rId147" Type="http://schemas.openxmlformats.org/officeDocument/2006/relationships/ctrlProp" Target="../ctrlProps/ctrlProp684.xml"/><Relationship Id="rId168" Type="http://schemas.openxmlformats.org/officeDocument/2006/relationships/ctrlProp" Target="../ctrlProps/ctrlProp705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72" Type="http://schemas.openxmlformats.org/officeDocument/2006/relationships/ctrlProp" Target="../ctrlProps/ctrlProp609.xml"/><Relationship Id="rId93" Type="http://schemas.openxmlformats.org/officeDocument/2006/relationships/ctrlProp" Target="../ctrlProps/ctrlProp630.xml"/><Relationship Id="rId98" Type="http://schemas.openxmlformats.org/officeDocument/2006/relationships/ctrlProp" Target="../ctrlProps/ctrlProp635.xml"/><Relationship Id="rId121" Type="http://schemas.openxmlformats.org/officeDocument/2006/relationships/ctrlProp" Target="../ctrlProps/ctrlProp658.xml"/><Relationship Id="rId142" Type="http://schemas.openxmlformats.org/officeDocument/2006/relationships/ctrlProp" Target="../ctrlProps/ctrlProp679.xml"/><Relationship Id="rId163" Type="http://schemas.openxmlformats.org/officeDocument/2006/relationships/ctrlProp" Target="../ctrlProps/ctrlProp700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562.xml"/><Relationship Id="rId46" Type="http://schemas.openxmlformats.org/officeDocument/2006/relationships/ctrlProp" Target="../ctrlProps/ctrlProp583.xml"/><Relationship Id="rId67" Type="http://schemas.openxmlformats.org/officeDocument/2006/relationships/ctrlProp" Target="../ctrlProps/ctrlProp604.xml"/><Relationship Id="rId116" Type="http://schemas.openxmlformats.org/officeDocument/2006/relationships/ctrlProp" Target="../ctrlProps/ctrlProp653.xml"/><Relationship Id="rId137" Type="http://schemas.openxmlformats.org/officeDocument/2006/relationships/ctrlProp" Target="../ctrlProps/ctrlProp674.xml"/><Relationship Id="rId158" Type="http://schemas.openxmlformats.org/officeDocument/2006/relationships/ctrlProp" Target="../ctrlProps/ctrlProp695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62" Type="http://schemas.openxmlformats.org/officeDocument/2006/relationships/ctrlProp" Target="../ctrlProps/ctrlProp599.xml"/><Relationship Id="rId83" Type="http://schemas.openxmlformats.org/officeDocument/2006/relationships/ctrlProp" Target="../ctrlProps/ctrlProp620.xml"/><Relationship Id="rId88" Type="http://schemas.openxmlformats.org/officeDocument/2006/relationships/ctrlProp" Target="../ctrlProps/ctrlProp625.xml"/><Relationship Id="rId111" Type="http://schemas.openxmlformats.org/officeDocument/2006/relationships/ctrlProp" Target="../ctrlProps/ctrlProp648.xml"/><Relationship Id="rId132" Type="http://schemas.openxmlformats.org/officeDocument/2006/relationships/ctrlProp" Target="../ctrlProps/ctrlProp669.xml"/><Relationship Id="rId153" Type="http://schemas.openxmlformats.org/officeDocument/2006/relationships/ctrlProp" Target="../ctrlProps/ctrlProp690.xml"/><Relationship Id="rId174" Type="http://schemas.openxmlformats.org/officeDocument/2006/relationships/ctrlProp" Target="../ctrlProps/ctrlProp711.xml"/><Relationship Id="rId179" Type="http://schemas.openxmlformats.org/officeDocument/2006/relationships/ctrlProp" Target="../ctrlProps/ctrlProp716.xml"/><Relationship Id="rId15" Type="http://schemas.openxmlformats.org/officeDocument/2006/relationships/ctrlProp" Target="../ctrlProps/ctrlProp552.xml"/><Relationship Id="rId36" Type="http://schemas.openxmlformats.org/officeDocument/2006/relationships/ctrlProp" Target="../ctrlProps/ctrlProp573.xml"/><Relationship Id="rId57" Type="http://schemas.openxmlformats.org/officeDocument/2006/relationships/ctrlProp" Target="../ctrlProps/ctrlProp594.xml"/><Relationship Id="rId106" Type="http://schemas.openxmlformats.org/officeDocument/2006/relationships/ctrlProp" Target="../ctrlProps/ctrlProp643.xml"/><Relationship Id="rId127" Type="http://schemas.openxmlformats.org/officeDocument/2006/relationships/ctrlProp" Target="../ctrlProps/ctrlProp664.xml"/><Relationship Id="rId10" Type="http://schemas.openxmlformats.org/officeDocument/2006/relationships/ctrlProp" Target="../ctrlProps/ctrlProp547.xml"/><Relationship Id="rId31" Type="http://schemas.openxmlformats.org/officeDocument/2006/relationships/ctrlProp" Target="../ctrlProps/ctrlProp568.xml"/><Relationship Id="rId52" Type="http://schemas.openxmlformats.org/officeDocument/2006/relationships/ctrlProp" Target="../ctrlProps/ctrlProp589.xml"/><Relationship Id="rId73" Type="http://schemas.openxmlformats.org/officeDocument/2006/relationships/ctrlProp" Target="../ctrlProps/ctrlProp610.xml"/><Relationship Id="rId78" Type="http://schemas.openxmlformats.org/officeDocument/2006/relationships/ctrlProp" Target="../ctrlProps/ctrlProp615.xml"/><Relationship Id="rId94" Type="http://schemas.openxmlformats.org/officeDocument/2006/relationships/ctrlProp" Target="../ctrlProps/ctrlProp631.xml"/><Relationship Id="rId99" Type="http://schemas.openxmlformats.org/officeDocument/2006/relationships/ctrlProp" Target="../ctrlProps/ctrlProp636.xml"/><Relationship Id="rId101" Type="http://schemas.openxmlformats.org/officeDocument/2006/relationships/ctrlProp" Target="../ctrlProps/ctrlProp638.xml"/><Relationship Id="rId122" Type="http://schemas.openxmlformats.org/officeDocument/2006/relationships/ctrlProp" Target="../ctrlProps/ctrlProp659.xml"/><Relationship Id="rId143" Type="http://schemas.openxmlformats.org/officeDocument/2006/relationships/ctrlProp" Target="../ctrlProps/ctrlProp680.xml"/><Relationship Id="rId148" Type="http://schemas.openxmlformats.org/officeDocument/2006/relationships/ctrlProp" Target="../ctrlProps/ctrlProp685.xml"/><Relationship Id="rId164" Type="http://schemas.openxmlformats.org/officeDocument/2006/relationships/ctrlProp" Target="../ctrlProps/ctrlProp701.xml"/><Relationship Id="rId169" Type="http://schemas.openxmlformats.org/officeDocument/2006/relationships/ctrlProp" Target="../ctrlProps/ctrlProp70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25.xml"/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26" Type="http://schemas.openxmlformats.org/officeDocument/2006/relationships/ctrlProp" Target="../ctrlProps/ctrlProp743.xml"/><Relationship Id="rId39" Type="http://schemas.openxmlformats.org/officeDocument/2006/relationships/ctrlProp" Target="../ctrlProps/ctrlProp75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738.xml"/><Relationship Id="rId34" Type="http://schemas.openxmlformats.org/officeDocument/2006/relationships/ctrlProp" Target="../ctrlProps/ctrlProp751.xml"/><Relationship Id="rId42" Type="http://schemas.openxmlformats.org/officeDocument/2006/relationships/ctrlProp" Target="../ctrlProps/ctrlProp759.xml"/><Relationship Id="rId47" Type="http://schemas.openxmlformats.org/officeDocument/2006/relationships/ctrlProp" Target="../ctrlProps/ctrlProp764.xml"/><Relationship Id="rId7" Type="http://schemas.openxmlformats.org/officeDocument/2006/relationships/ctrlProp" Target="../ctrlProps/ctrlProp724.x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46" Type="http://schemas.openxmlformats.org/officeDocument/2006/relationships/ctrlProp" Target="../ctrlProps/ctrlProp763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29" Type="http://schemas.openxmlformats.org/officeDocument/2006/relationships/ctrlProp" Target="../ctrlProps/ctrlProp746.xml"/><Relationship Id="rId41" Type="http://schemas.openxmlformats.org/officeDocument/2006/relationships/ctrlProp" Target="../ctrlProps/ctrlProp75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23.xml"/><Relationship Id="rId11" Type="http://schemas.openxmlformats.org/officeDocument/2006/relationships/ctrlProp" Target="../ctrlProps/ctrlProp728.xml"/><Relationship Id="rId24" Type="http://schemas.openxmlformats.org/officeDocument/2006/relationships/ctrlProp" Target="../ctrlProps/ctrlProp741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40" Type="http://schemas.openxmlformats.org/officeDocument/2006/relationships/ctrlProp" Target="../ctrlProps/ctrlProp757.xml"/><Relationship Id="rId45" Type="http://schemas.openxmlformats.org/officeDocument/2006/relationships/ctrlProp" Target="../ctrlProps/ctrlProp762.xml"/><Relationship Id="rId5" Type="http://schemas.openxmlformats.org/officeDocument/2006/relationships/ctrlProp" Target="../ctrlProps/ctrlProp722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31" Type="http://schemas.openxmlformats.org/officeDocument/2006/relationships/ctrlProp" Target="../ctrlProps/ctrlProp748.xml"/><Relationship Id="rId44" Type="http://schemas.openxmlformats.org/officeDocument/2006/relationships/ctrlProp" Target="../ctrlProps/ctrlProp761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4" Type="http://schemas.openxmlformats.org/officeDocument/2006/relationships/ctrlProp" Target="../ctrlProps/ctrlProp731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43" Type="http://schemas.openxmlformats.org/officeDocument/2006/relationships/ctrlProp" Target="../ctrlProps/ctrlProp760.xml"/><Relationship Id="rId48" Type="http://schemas.openxmlformats.org/officeDocument/2006/relationships/ctrlProp" Target="../ctrlProps/ctrlProp76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0.xml"/><Relationship Id="rId13" Type="http://schemas.openxmlformats.org/officeDocument/2006/relationships/ctrlProp" Target="../ctrlProps/ctrlProp775.xml"/><Relationship Id="rId18" Type="http://schemas.openxmlformats.org/officeDocument/2006/relationships/ctrlProp" Target="../ctrlProps/ctrlProp780.xml"/><Relationship Id="rId26" Type="http://schemas.openxmlformats.org/officeDocument/2006/relationships/ctrlProp" Target="../ctrlProps/ctrlProp788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783.xml"/><Relationship Id="rId34" Type="http://schemas.openxmlformats.org/officeDocument/2006/relationships/ctrlProp" Target="../ctrlProps/ctrlProp796.xml"/><Relationship Id="rId7" Type="http://schemas.openxmlformats.org/officeDocument/2006/relationships/ctrlProp" Target="../ctrlProps/ctrlProp769.xml"/><Relationship Id="rId12" Type="http://schemas.openxmlformats.org/officeDocument/2006/relationships/ctrlProp" Target="../ctrlProps/ctrlProp774.xml"/><Relationship Id="rId17" Type="http://schemas.openxmlformats.org/officeDocument/2006/relationships/ctrlProp" Target="../ctrlProps/ctrlProp779.xml"/><Relationship Id="rId25" Type="http://schemas.openxmlformats.org/officeDocument/2006/relationships/ctrlProp" Target="../ctrlProps/ctrlProp787.xml"/><Relationship Id="rId33" Type="http://schemas.openxmlformats.org/officeDocument/2006/relationships/ctrlProp" Target="../ctrlProps/ctrlProp795.xml"/><Relationship Id="rId38" Type="http://schemas.openxmlformats.org/officeDocument/2006/relationships/ctrlProp" Target="../ctrlProps/ctrlProp800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778.xml"/><Relationship Id="rId20" Type="http://schemas.openxmlformats.org/officeDocument/2006/relationships/ctrlProp" Target="../ctrlProps/ctrlProp782.xml"/><Relationship Id="rId29" Type="http://schemas.openxmlformats.org/officeDocument/2006/relationships/ctrlProp" Target="../ctrlProps/ctrlProp79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68.xml"/><Relationship Id="rId11" Type="http://schemas.openxmlformats.org/officeDocument/2006/relationships/ctrlProp" Target="../ctrlProps/ctrlProp773.xml"/><Relationship Id="rId24" Type="http://schemas.openxmlformats.org/officeDocument/2006/relationships/ctrlProp" Target="../ctrlProps/ctrlProp786.xml"/><Relationship Id="rId32" Type="http://schemas.openxmlformats.org/officeDocument/2006/relationships/ctrlProp" Target="../ctrlProps/ctrlProp794.xml"/><Relationship Id="rId37" Type="http://schemas.openxmlformats.org/officeDocument/2006/relationships/ctrlProp" Target="../ctrlProps/ctrlProp799.xml"/><Relationship Id="rId5" Type="http://schemas.openxmlformats.org/officeDocument/2006/relationships/ctrlProp" Target="../ctrlProps/ctrlProp767.xml"/><Relationship Id="rId15" Type="http://schemas.openxmlformats.org/officeDocument/2006/relationships/ctrlProp" Target="../ctrlProps/ctrlProp777.xml"/><Relationship Id="rId23" Type="http://schemas.openxmlformats.org/officeDocument/2006/relationships/ctrlProp" Target="../ctrlProps/ctrlProp785.xml"/><Relationship Id="rId28" Type="http://schemas.openxmlformats.org/officeDocument/2006/relationships/ctrlProp" Target="../ctrlProps/ctrlProp790.xml"/><Relationship Id="rId36" Type="http://schemas.openxmlformats.org/officeDocument/2006/relationships/ctrlProp" Target="../ctrlProps/ctrlProp798.xml"/><Relationship Id="rId10" Type="http://schemas.openxmlformats.org/officeDocument/2006/relationships/ctrlProp" Target="../ctrlProps/ctrlProp772.xml"/><Relationship Id="rId19" Type="http://schemas.openxmlformats.org/officeDocument/2006/relationships/ctrlProp" Target="../ctrlProps/ctrlProp781.xml"/><Relationship Id="rId31" Type="http://schemas.openxmlformats.org/officeDocument/2006/relationships/ctrlProp" Target="../ctrlProps/ctrlProp793.xml"/><Relationship Id="rId4" Type="http://schemas.openxmlformats.org/officeDocument/2006/relationships/ctrlProp" Target="../ctrlProps/ctrlProp766.xml"/><Relationship Id="rId9" Type="http://schemas.openxmlformats.org/officeDocument/2006/relationships/ctrlProp" Target="../ctrlProps/ctrlProp771.xml"/><Relationship Id="rId14" Type="http://schemas.openxmlformats.org/officeDocument/2006/relationships/ctrlProp" Target="../ctrlProps/ctrlProp776.xml"/><Relationship Id="rId22" Type="http://schemas.openxmlformats.org/officeDocument/2006/relationships/ctrlProp" Target="../ctrlProps/ctrlProp784.xml"/><Relationship Id="rId27" Type="http://schemas.openxmlformats.org/officeDocument/2006/relationships/ctrlProp" Target="../ctrlProps/ctrlProp789.xml"/><Relationship Id="rId30" Type="http://schemas.openxmlformats.org/officeDocument/2006/relationships/ctrlProp" Target="../ctrlProps/ctrlProp792.xml"/><Relationship Id="rId35" Type="http://schemas.openxmlformats.org/officeDocument/2006/relationships/ctrlProp" Target="../ctrlProps/ctrlProp79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05.xml"/><Relationship Id="rId13" Type="http://schemas.openxmlformats.org/officeDocument/2006/relationships/ctrlProp" Target="../ctrlProps/ctrlProp810.xml"/><Relationship Id="rId18" Type="http://schemas.openxmlformats.org/officeDocument/2006/relationships/ctrlProp" Target="../ctrlProps/ctrlProp815.xml"/><Relationship Id="rId26" Type="http://schemas.openxmlformats.org/officeDocument/2006/relationships/ctrlProp" Target="../ctrlProps/ctrlProp823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818.xml"/><Relationship Id="rId7" Type="http://schemas.openxmlformats.org/officeDocument/2006/relationships/ctrlProp" Target="../ctrlProps/ctrlProp804.xml"/><Relationship Id="rId12" Type="http://schemas.openxmlformats.org/officeDocument/2006/relationships/ctrlProp" Target="../ctrlProps/ctrlProp809.xml"/><Relationship Id="rId17" Type="http://schemas.openxmlformats.org/officeDocument/2006/relationships/ctrlProp" Target="../ctrlProps/ctrlProp814.xml"/><Relationship Id="rId25" Type="http://schemas.openxmlformats.org/officeDocument/2006/relationships/ctrlProp" Target="../ctrlProps/ctrlProp822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813.xml"/><Relationship Id="rId20" Type="http://schemas.openxmlformats.org/officeDocument/2006/relationships/ctrlProp" Target="../ctrlProps/ctrlProp81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3.xml"/><Relationship Id="rId11" Type="http://schemas.openxmlformats.org/officeDocument/2006/relationships/ctrlProp" Target="../ctrlProps/ctrlProp808.xml"/><Relationship Id="rId24" Type="http://schemas.openxmlformats.org/officeDocument/2006/relationships/ctrlProp" Target="../ctrlProps/ctrlProp821.xml"/><Relationship Id="rId5" Type="http://schemas.openxmlformats.org/officeDocument/2006/relationships/ctrlProp" Target="../ctrlProps/ctrlProp802.xml"/><Relationship Id="rId15" Type="http://schemas.openxmlformats.org/officeDocument/2006/relationships/ctrlProp" Target="../ctrlProps/ctrlProp812.xml"/><Relationship Id="rId23" Type="http://schemas.openxmlformats.org/officeDocument/2006/relationships/ctrlProp" Target="../ctrlProps/ctrlProp820.xml"/><Relationship Id="rId28" Type="http://schemas.openxmlformats.org/officeDocument/2006/relationships/ctrlProp" Target="../ctrlProps/ctrlProp825.xml"/><Relationship Id="rId10" Type="http://schemas.openxmlformats.org/officeDocument/2006/relationships/ctrlProp" Target="../ctrlProps/ctrlProp807.xml"/><Relationship Id="rId19" Type="http://schemas.openxmlformats.org/officeDocument/2006/relationships/ctrlProp" Target="../ctrlProps/ctrlProp816.xml"/><Relationship Id="rId4" Type="http://schemas.openxmlformats.org/officeDocument/2006/relationships/ctrlProp" Target="../ctrlProps/ctrlProp801.xml"/><Relationship Id="rId9" Type="http://schemas.openxmlformats.org/officeDocument/2006/relationships/ctrlProp" Target="../ctrlProps/ctrlProp806.xml"/><Relationship Id="rId14" Type="http://schemas.openxmlformats.org/officeDocument/2006/relationships/ctrlProp" Target="../ctrlProps/ctrlProp811.xml"/><Relationship Id="rId22" Type="http://schemas.openxmlformats.org/officeDocument/2006/relationships/ctrlProp" Target="../ctrlProps/ctrlProp819.xml"/><Relationship Id="rId27" Type="http://schemas.openxmlformats.org/officeDocument/2006/relationships/ctrlProp" Target="../ctrlProps/ctrlProp824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35.xml"/><Relationship Id="rId18" Type="http://schemas.openxmlformats.org/officeDocument/2006/relationships/ctrlProp" Target="../ctrlProps/ctrlProp840.xml"/><Relationship Id="rId26" Type="http://schemas.openxmlformats.org/officeDocument/2006/relationships/ctrlProp" Target="../ctrlProps/ctrlProp848.xml"/><Relationship Id="rId39" Type="http://schemas.openxmlformats.org/officeDocument/2006/relationships/ctrlProp" Target="../ctrlProps/ctrlProp861.xml"/><Relationship Id="rId21" Type="http://schemas.openxmlformats.org/officeDocument/2006/relationships/ctrlProp" Target="../ctrlProps/ctrlProp843.xml"/><Relationship Id="rId34" Type="http://schemas.openxmlformats.org/officeDocument/2006/relationships/ctrlProp" Target="../ctrlProps/ctrlProp856.xml"/><Relationship Id="rId42" Type="http://schemas.openxmlformats.org/officeDocument/2006/relationships/ctrlProp" Target="../ctrlProps/ctrlProp864.xml"/><Relationship Id="rId47" Type="http://schemas.openxmlformats.org/officeDocument/2006/relationships/ctrlProp" Target="../ctrlProps/ctrlProp869.xml"/><Relationship Id="rId50" Type="http://schemas.openxmlformats.org/officeDocument/2006/relationships/ctrlProp" Target="../ctrlProps/ctrlProp872.xml"/><Relationship Id="rId55" Type="http://schemas.openxmlformats.org/officeDocument/2006/relationships/ctrlProp" Target="../ctrlProps/ctrlProp877.xml"/><Relationship Id="rId63" Type="http://schemas.openxmlformats.org/officeDocument/2006/relationships/ctrlProp" Target="../ctrlProps/ctrlProp885.xml"/><Relationship Id="rId7" Type="http://schemas.openxmlformats.org/officeDocument/2006/relationships/ctrlProp" Target="../ctrlProps/ctrlProp82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838.xml"/><Relationship Id="rId20" Type="http://schemas.openxmlformats.org/officeDocument/2006/relationships/ctrlProp" Target="../ctrlProps/ctrlProp842.xml"/><Relationship Id="rId29" Type="http://schemas.openxmlformats.org/officeDocument/2006/relationships/ctrlProp" Target="../ctrlProps/ctrlProp851.xml"/><Relationship Id="rId41" Type="http://schemas.openxmlformats.org/officeDocument/2006/relationships/ctrlProp" Target="../ctrlProps/ctrlProp863.xml"/><Relationship Id="rId54" Type="http://schemas.openxmlformats.org/officeDocument/2006/relationships/ctrlProp" Target="../ctrlProps/ctrlProp876.xml"/><Relationship Id="rId62" Type="http://schemas.openxmlformats.org/officeDocument/2006/relationships/ctrlProp" Target="../ctrlProps/ctrlProp88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828.xml"/><Relationship Id="rId11" Type="http://schemas.openxmlformats.org/officeDocument/2006/relationships/ctrlProp" Target="../ctrlProps/ctrlProp833.xml"/><Relationship Id="rId24" Type="http://schemas.openxmlformats.org/officeDocument/2006/relationships/ctrlProp" Target="../ctrlProps/ctrlProp846.xml"/><Relationship Id="rId32" Type="http://schemas.openxmlformats.org/officeDocument/2006/relationships/ctrlProp" Target="../ctrlProps/ctrlProp854.xml"/><Relationship Id="rId37" Type="http://schemas.openxmlformats.org/officeDocument/2006/relationships/ctrlProp" Target="../ctrlProps/ctrlProp859.xml"/><Relationship Id="rId40" Type="http://schemas.openxmlformats.org/officeDocument/2006/relationships/ctrlProp" Target="../ctrlProps/ctrlProp862.xml"/><Relationship Id="rId45" Type="http://schemas.openxmlformats.org/officeDocument/2006/relationships/ctrlProp" Target="../ctrlProps/ctrlProp867.xml"/><Relationship Id="rId53" Type="http://schemas.openxmlformats.org/officeDocument/2006/relationships/ctrlProp" Target="../ctrlProps/ctrlProp875.xml"/><Relationship Id="rId58" Type="http://schemas.openxmlformats.org/officeDocument/2006/relationships/ctrlProp" Target="../ctrlProps/ctrlProp880.xml"/><Relationship Id="rId5" Type="http://schemas.openxmlformats.org/officeDocument/2006/relationships/ctrlProp" Target="../ctrlProps/ctrlProp827.xml"/><Relationship Id="rId15" Type="http://schemas.openxmlformats.org/officeDocument/2006/relationships/ctrlProp" Target="../ctrlProps/ctrlProp837.xml"/><Relationship Id="rId23" Type="http://schemas.openxmlformats.org/officeDocument/2006/relationships/ctrlProp" Target="../ctrlProps/ctrlProp845.xml"/><Relationship Id="rId28" Type="http://schemas.openxmlformats.org/officeDocument/2006/relationships/ctrlProp" Target="../ctrlProps/ctrlProp850.xml"/><Relationship Id="rId36" Type="http://schemas.openxmlformats.org/officeDocument/2006/relationships/ctrlProp" Target="../ctrlProps/ctrlProp858.xml"/><Relationship Id="rId49" Type="http://schemas.openxmlformats.org/officeDocument/2006/relationships/ctrlProp" Target="../ctrlProps/ctrlProp871.xml"/><Relationship Id="rId57" Type="http://schemas.openxmlformats.org/officeDocument/2006/relationships/ctrlProp" Target="../ctrlProps/ctrlProp879.xml"/><Relationship Id="rId61" Type="http://schemas.openxmlformats.org/officeDocument/2006/relationships/ctrlProp" Target="../ctrlProps/ctrlProp883.xml"/><Relationship Id="rId10" Type="http://schemas.openxmlformats.org/officeDocument/2006/relationships/ctrlProp" Target="../ctrlProps/ctrlProp832.xml"/><Relationship Id="rId19" Type="http://schemas.openxmlformats.org/officeDocument/2006/relationships/ctrlProp" Target="../ctrlProps/ctrlProp841.xml"/><Relationship Id="rId31" Type="http://schemas.openxmlformats.org/officeDocument/2006/relationships/ctrlProp" Target="../ctrlProps/ctrlProp853.xml"/><Relationship Id="rId44" Type="http://schemas.openxmlformats.org/officeDocument/2006/relationships/ctrlProp" Target="../ctrlProps/ctrlProp866.xml"/><Relationship Id="rId52" Type="http://schemas.openxmlformats.org/officeDocument/2006/relationships/ctrlProp" Target="../ctrlProps/ctrlProp874.xml"/><Relationship Id="rId60" Type="http://schemas.openxmlformats.org/officeDocument/2006/relationships/ctrlProp" Target="../ctrlProps/ctrlProp882.xml"/><Relationship Id="rId4" Type="http://schemas.openxmlformats.org/officeDocument/2006/relationships/ctrlProp" Target="../ctrlProps/ctrlProp826.xml"/><Relationship Id="rId9" Type="http://schemas.openxmlformats.org/officeDocument/2006/relationships/ctrlProp" Target="../ctrlProps/ctrlProp831.xml"/><Relationship Id="rId14" Type="http://schemas.openxmlformats.org/officeDocument/2006/relationships/ctrlProp" Target="../ctrlProps/ctrlProp836.xml"/><Relationship Id="rId22" Type="http://schemas.openxmlformats.org/officeDocument/2006/relationships/ctrlProp" Target="../ctrlProps/ctrlProp844.xml"/><Relationship Id="rId27" Type="http://schemas.openxmlformats.org/officeDocument/2006/relationships/ctrlProp" Target="../ctrlProps/ctrlProp849.xml"/><Relationship Id="rId30" Type="http://schemas.openxmlformats.org/officeDocument/2006/relationships/ctrlProp" Target="../ctrlProps/ctrlProp852.xml"/><Relationship Id="rId35" Type="http://schemas.openxmlformats.org/officeDocument/2006/relationships/ctrlProp" Target="../ctrlProps/ctrlProp857.xml"/><Relationship Id="rId43" Type="http://schemas.openxmlformats.org/officeDocument/2006/relationships/ctrlProp" Target="../ctrlProps/ctrlProp865.xml"/><Relationship Id="rId48" Type="http://schemas.openxmlformats.org/officeDocument/2006/relationships/ctrlProp" Target="../ctrlProps/ctrlProp870.xml"/><Relationship Id="rId56" Type="http://schemas.openxmlformats.org/officeDocument/2006/relationships/ctrlProp" Target="../ctrlProps/ctrlProp878.xml"/><Relationship Id="rId8" Type="http://schemas.openxmlformats.org/officeDocument/2006/relationships/ctrlProp" Target="../ctrlProps/ctrlProp830.xml"/><Relationship Id="rId51" Type="http://schemas.openxmlformats.org/officeDocument/2006/relationships/ctrlProp" Target="../ctrlProps/ctrlProp873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834.xml"/><Relationship Id="rId17" Type="http://schemas.openxmlformats.org/officeDocument/2006/relationships/ctrlProp" Target="../ctrlProps/ctrlProp839.xml"/><Relationship Id="rId25" Type="http://schemas.openxmlformats.org/officeDocument/2006/relationships/ctrlProp" Target="../ctrlProps/ctrlProp847.xml"/><Relationship Id="rId33" Type="http://schemas.openxmlformats.org/officeDocument/2006/relationships/ctrlProp" Target="../ctrlProps/ctrlProp855.xml"/><Relationship Id="rId38" Type="http://schemas.openxmlformats.org/officeDocument/2006/relationships/ctrlProp" Target="../ctrlProps/ctrlProp860.xml"/><Relationship Id="rId46" Type="http://schemas.openxmlformats.org/officeDocument/2006/relationships/ctrlProp" Target="../ctrlProps/ctrlProp868.xml"/><Relationship Id="rId59" Type="http://schemas.openxmlformats.org/officeDocument/2006/relationships/ctrlProp" Target="../ctrlProps/ctrlProp88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0.xml"/><Relationship Id="rId13" Type="http://schemas.openxmlformats.org/officeDocument/2006/relationships/ctrlProp" Target="../ctrlProps/ctrlProp895.xml"/><Relationship Id="rId18" Type="http://schemas.openxmlformats.org/officeDocument/2006/relationships/ctrlProp" Target="../ctrlProps/ctrlProp900.xml"/><Relationship Id="rId26" Type="http://schemas.openxmlformats.org/officeDocument/2006/relationships/ctrlProp" Target="../ctrlProps/ctrlProp908.xml"/><Relationship Id="rId39" Type="http://schemas.openxmlformats.org/officeDocument/2006/relationships/ctrlProp" Target="../ctrlProps/ctrlProp921.xml"/><Relationship Id="rId3" Type="http://schemas.openxmlformats.org/officeDocument/2006/relationships/vmlDrawing" Target="../drawings/vmlDrawing9.vml"/><Relationship Id="rId21" Type="http://schemas.openxmlformats.org/officeDocument/2006/relationships/ctrlProp" Target="../ctrlProps/ctrlProp903.xml"/><Relationship Id="rId34" Type="http://schemas.openxmlformats.org/officeDocument/2006/relationships/ctrlProp" Target="../ctrlProps/ctrlProp916.xml"/><Relationship Id="rId42" Type="http://schemas.openxmlformats.org/officeDocument/2006/relationships/ctrlProp" Target="../ctrlProps/ctrlProp924.xml"/><Relationship Id="rId47" Type="http://schemas.openxmlformats.org/officeDocument/2006/relationships/ctrlProp" Target="../ctrlProps/ctrlProp929.xml"/><Relationship Id="rId7" Type="http://schemas.openxmlformats.org/officeDocument/2006/relationships/ctrlProp" Target="../ctrlProps/ctrlProp889.xml"/><Relationship Id="rId12" Type="http://schemas.openxmlformats.org/officeDocument/2006/relationships/ctrlProp" Target="../ctrlProps/ctrlProp894.xml"/><Relationship Id="rId17" Type="http://schemas.openxmlformats.org/officeDocument/2006/relationships/ctrlProp" Target="../ctrlProps/ctrlProp899.xml"/><Relationship Id="rId25" Type="http://schemas.openxmlformats.org/officeDocument/2006/relationships/ctrlProp" Target="../ctrlProps/ctrlProp907.xml"/><Relationship Id="rId33" Type="http://schemas.openxmlformats.org/officeDocument/2006/relationships/ctrlProp" Target="../ctrlProps/ctrlProp915.xml"/><Relationship Id="rId38" Type="http://schemas.openxmlformats.org/officeDocument/2006/relationships/ctrlProp" Target="../ctrlProps/ctrlProp920.xml"/><Relationship Id="rId46" Type="http://schemas.openxmlformats.org/officeDocument/2006/relationships/ctrlProp" Target="../ctrlProps/ctrlProp928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898.xml"/><Relationship Id="rId20" Type="http://schemas.openxmlformats.org/officeDocument/2006/relationships/ctrlProp" Target="../ctrlProps/ctrlProp902.xml"/><Relationship Id="rId29" Type="http://schemas.openxmlformats.org/officeDocument/2006/relationships/ctrlProp" Target="../ctrlProps/ctrlProp911.xml"/><Relationship Id="rId41" Type="http://schemas.openxmlformats.org/officeDocument/2006/relationships/ctrlProp" Target="../ctrlProps/ctrlProp92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88.xml"/><Relationship Id="rId11" Type="http://schemas.openxmlformats.org/officeDocument/2006/relationships/ctrlProp" Target="../ctrlProps/ctrlProp893.xml"/><Relationship Id="rId24" Type="http://schemas.openxmlformats.org/officeDocument/2006/relationships/ctrlProp" Target="../ctrlProps/ctrlProp906.xml"/><Relationship Id="rId32" Type="http://schemas.openxmlformats.org/officeDocument/2006/relationships/ctrlProp" Target="../ctrlProps/ctrlProp914.xml"/><Relationship Id="rId37" Type="http://schemas.openxmlformats.org/officeDocument/2006/relationships/ctrlProp" Target="../ctrlProps/ctrlProp919.xml"/><Relationship Id="rId40" Type="http://schemas.openxmlformats.org/officeDocument/2006/relationships/ctrlProp" Target="../ctrlProps/ctrlProp922.xml"/><Relationship Id="rId45" Type="http://schemas.openxmlformats.org/officeDocument/2006/relationships/ctrlProp" Target="../ctrlProps/ctrlProp927.xml"/><Relationship Id="rId5" Type="http://schemas.openxmlformats.org/officeDocument/2006/relationships/ctrlProp" Target="../ctrlProps/ctrlProp887.xml"/><Relationship Id="rId15" Type="http://schemas.openxmlformats.org/officeDocument/2006/relationships/ctrlProp" Target="../ctrlProps/ctrlProp897.xml"/><Relationship Id="rId23" Type="http://schemas.openxmlformats.org/officeDocument/2006/relationships/ctrlProp" Target="../ctrlProps/ctrlProp905.xml"/><Relationship Id="rId28" Type="http://schemas.openxmlformats.org/officeDocument/2006/relationships/ctrlProp" Target="../ctrlProps/ctrlProp910.xml"/><Relationship Id="rId36" Type="http://schemas.openxmlformats.org/officeDocument/2006/relationships/ctrlProp" Target="../ctrlProps/ctrlProp918.xml"/><Relationship Id="rId10" Type="http://schemas.openxmlformats.org/officeDocument/2006/relationships/ctrlProp" Target="../ctrlProps/ctrlProp892.xml"/><Relationship Id="rId19" Type="http://schemas.openxmlformats.org/officeDocument/2006/relationships/ctrlProp" Target="../ctrlProps/ctrlProp901.xml"/><Relationship Id="rId31" Type="http://schemas.openxmlformats.org/officeDocument/2006/relationships/ctrlProp" Target="../ctrlProps/ctrlProp913.xml"/><Relationship Id="rId44" Type="http://schemas.openxmlformats.org/officeDocument/2006/relationships/ctrlProp" Target="../ctrlProps/ctrlProp926.xml"/><Relationship Id="rId4" Type="http://schemas.openxmlformats.org/officeDocument/2006/relationships/ctrlProp" Target="../ctrlProps/ctrlProp886.xml"/><Relationship Id="rId9" Type="http://schemas.openxmlformats.org/officeDocument/2006/relationships/ctrlProp" Target="../ctrlProps/ctrlProp891.xml"/><Relationship Id="rId14" Type="http://schemas.openxmlformats.org/officeDocument/2006/relationships/ctrlProp" Target="../ctrlProps/ctrlProp896.xml"/><Relationship Id="rId22" Type="http://schemas.openxmlformats.org/officeDocument/2006/relationships/ctrlProp" Target="../ctrlProps/ctrlProp904.xml"/><Relationship Id="rId27" Type="http://schemas.openxmlformats.org/officeDocument/2006/relationships/ctrlProp" Target="../ctrlProps/ctrlProp909.xml"/><Relationship Id="rId30" Type="http://schemas.openxmlformats.org/officeDocument/2006/relationships/ctrlProp" Target="../ctrlProps/ctrlProp912.xml"/><Relationship Id="rId35" Type="http://schemas.openxmlformats.org/officeDocument/2006/relationships/ctrlProp" Target="../ctrlProps/ctrlProp917.xml"/><Relationship Id="rId43" Type="http://schemas.openxmlformats.org/officeDocument/2006/relationships/ctrlProp" Target="../ctrlProps/ctrlProp925.xml"/><Relationship Id="rId48" Type="http://schemas.openxmlformats.org/officeDocument/2006/relationships/ctrlProp" Target="../ctrlProps/ctrlProp93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40.xml"/><Relationship Id="rId18" Type="http://schemas.openxmlformats.org/officeDocument/2006/relationships/ctrlProp" Target="../ctrlProps/ctrlProp945.xml"/><Relationship Id="rId26" Type="http://schemas.openxmlformats.org/officeDocument/2006/relationships/ctrlProp" Target="../ctrlProps/ctrlProp953.xml"/><Relationship Id="rId39" Type="http://schemas.openxmlformats.org/officeDocument/2006/relationships/ctrlProp" Target="../ctrlProps/ctrlProp966.xml"/><Relationship Id="rId3" Type="http://schemas.openxmlformats.org/officeDocument/2006/relationships/vmlDrawing" Target="../drawings/vmlDrawing10.vml"/><Relationship Id="rId21" Type="http://schemas.openxmlformats.org/officeDocument/2006/relationships/ctrlProp" Target="../ctrlProps/ctrlProp948.xml"/><Relationship Id="rId34" Type="http://schemas.openxmlformats.org/officeDocument/2006/relationships/ctrlProp" Target="../ctrlProps/ctrlProp961.xml"/><Relationship Id="rId42" Type="http://schemas.openxmlformats.org/officeDocument/2006/relationships/ctrlProp" Target="../ctrlProps/ctrlProp969.xml"/><Relationship Id="rId47" Type="http://schemas.openxmlformats.org/officeDocument/2006/relationships/ctrlProp" Target="../ctrlProps/ctrlProp974.xml"/><Relationship Id="rId50" Type="http://schemas.openxmlformats.org/officeDocument/2006/relationships/ctrlProp" Target="../ctrlProps/ctrlProp977.xml"/><Relationship Id="rId7" Type="http://schemas.openxmlformats.org/officeDocument/2006/relationships/ctrlProp" Target="../ctrlProps/ctrlProp934.xml"/><Relationship Id="rId12" Type="http://schemas.openxmlformats.org/officeDocument/2006/relationships/ctrlProp" Target="../ctrlProps/ctrlProp939.xml"/><Relationship Id="rId17" Type="http://schemas.openxmlformats.org/officeDocument/2006/relationships/ctrlProp" Target="../ctrlProps/ctrlProp944.xml"/><Relationship Id="rId25" Type="http://schemas.openxmlformats.org/officeDocument/2006/relationships/ctrlProp" Target="../ctrlProps/ctrlProp952.xml"/><Relationship Id="rId33" Type="http://schemas.openxmlformats.org/officeDocument/2006/relationships/ctrlProp" Target="../ctrlProps/ctrlProp960.xml"/><Relationship Id="rId38" Type="http://schemas.openxmlformats.org/officeDocument/2006/relationships/ctrlProp" Target="../ctrlProps/ctrlProp965.xml"/><Relationship Id="rId46" Type="http://schemas.openxmlformats.org/officeDocument/2006/relationships/ctrlProp" Target="../ctrlProps/ctrlProp973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943.xml"/><Relationship Id="rId20" Type="http://schemas.openxmlformats.org/officeDocument/2006/relationships/ctrlProp" Target="../ctrlProps/ctrlProp947.xml"/><Relationship Id="rId29" Type="http://schemas.openxmlformats.org/officeDocument/2006/relationships/ctrlProp" Target="../ctrlProps/ctrlProp956.xml"/><Relationship Id="rId41" Type="http://schemas.openxmlformats.org/officeDocument/2006/relationships/ctrlProp" Target="../ctrlProps/ctrlProp96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933.xml"/><Relationship Id="rId11" Type="http://schemas.openxmlformats.org/officeDocument/2006/relationships/ctrlProp" Target="../ctrlProps/ctrlProp938.xml"/><Relationship Id="rId24" Type="http://schemas.openxmlformats.org/officeDocument/2006/relationships/ctrlProp" Target="../ctrlProps/ctrlProp951.xml"/><Relationship Id="rId32" Type="http://schemas.openxmlformats.org/officeDocument/2006/relationships/ctrlProp" Target="../ctrlProps/ctrlProp959.xml"/><Relationship Id="rId37" Type="http://schemas.openxmlformats.org/officeDocument/2006/relationships/ctrlProp" Target="../ctrlProps/ctrlProp964.xml"/><Relationship Id="rId40" Type="http://schemas.openxmlformats.org/officeDocument/2006/relationships/ctrlProp" Target="../ctrlProps/ctrlProp967.xml"/><Relationship Id="rId45" Type="http://schemas.openxmlformats.org/officeDocument/2006/relationships/ctrlProp" Target="../ctrlProps/ctrlProp972.xml"/><Relationship Id="rId53" Type="http://schemas.openxmlformats.org/officeDocument/2006/relationships/ctrlProp" Target="../ctrlProps/ctrlProp980.xml"/><Relationship Id="rId5" Type="http://schemas.openxmlformats.org/officeDocument/2006/relationships/ctrlProp" Target="../ctrlProps/ctrlProp932.xml"/><Relationship Id="rId15" Type="http://schemas.openxmlformats.org/officeDocument/2006/relationships/ctrlProp" Target="../ctrlProps/ctrlProp942.xml"/><Relationship Id="rId23" Type="http://schemas.openxmlformats.org/officeDocument/2006/relationships/ctrlProp" Target="../ctrlProps/ctrlProp950.xml"/><Relationship Id="rId28" Type="http://schemas.openxmlformats.org/officeDocument/2006/relationships/ctrlProp" Target="../ctrlProps/ctrlProp955.xml"/><Relationship Id="rId36" Type="http://schemas.openxmlformats.org/officeDocument/2006/relationships/ctrlProp" Target="../ctrlProps/ctrlProp963.xml"/><Relationship Id="rId49" Type="http://schemas.openxmlformats.org/officeDocument/2006/relationships/ctrlProp" Target="../ctrlProps/ctrlProp976.xml"/><Relationship Id="rId10" Type="http://schemas.openxmlformats.org/officeDocument/2006/relationships/ctrlProp" Target="../ctrlProps/ctrlProp937.xml"/><Relationship Id="rId19" Type="http://schemas.openxmlformats.org/officeDocument/2006/relationships/ctrlProp" Target="../ctrlProps/ctrlProp946.xml"/><Relationship Id="rId31" Type="http://schemas.openxmlformats.org/officeDocument/2006/relationships/ctrlProp" Target="../ctrlProps/ctrlProp958.xml"/><Relationship Id="rId44" Type="http://schemas.openxmlformats.org/officeDocument/2006/relationships/ctrlProp" Target="../ctrlProps/ctrlProp971.xml"/><Relationship Id="rId52" Type="http://schemas.openxmlformats.org/officeDocument/2006/relationships/ctrlProp" Target="../ctrlProps/ctrlProp979.xml"/><Relationship Id="rId4" Type="http://schemas.openxmlformats.org/officeDocument/2006/relationships/ctrlProp" Target="../ctrlProps/ctrlProp931.xml"/><Relationship Id="rId9" Type="http://schemas.openxmlformats.org/officeDocument/2006/relationships/ctrlProp" Target="../ctrlProps/ctrlProp936.xml"/><Relationship Id="rId14" Type="http://schemas.openxmlformats.org/officeDocument/2006/relationships/ctrlProp" Target="../ctrlProps/ctrlProp941.xml"/><Relationship Id="rId22" Type="http://schemas.openxmlformats.org/officeDocument/2006/relationships/ctrlProp" Target="../ctrlProps/ctrlProp949.xml"/><Relationship Id="rId27" Type="http://schemas.openxmlformats.org/officeDocument/2006/relationships/ctrlProp" Target="../ctrlProps/ctrlProp954.xml"/><Relationship Id="rId30" Type="http://schemas.openxmlformats.org/officeDocument/2006/relationships/ctrlProp" Target="../ctrlProps/ctrlProp957.xml"/><Relationship Id="rId35" Type="http://schemas.openxmlformats.org/officeDocument/2006/relationships/ctrlProp" Target="../ctrlProps/ctrlProp962.xml"/><Relationship Id="rId43" Type="http://schemas.openxmlformats.org/officeDocument/2006/relationships/ctrlProp" Target="../ctrlProps/ctrlProp970.xml"/><Relationship Id="rId48" Type="http://schemas.openxmlformats.org/officeDocument/2006/relationships/ctrlProp" Target="../ctrlProps/ctrlProp975.xml"/><Relationship Id="rId8" Type="http://schemas.openxmlformats.org/officeDocument/2006/relationships/ctrlProp" Target="../ctrlProps/ctrlProp935.xml"/><Relationship Id="rId51" Type="http://schemas.openxmlformats.org/officeDocument/2006/relationships/ctrlProp" Target="../ctrlProps/ctrlProp9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B050"/>
  </sheetPr>
  <dimension ref="B1:W30"/>
  <sheetViews>
    <sheetView tabSelected="1" workbookViewId="0">
      <selection activeCell="U20" sqref="U20"/>
    </sheetView>
  </sheetViews>
  <sheetFormatPr defaultRowHeight="15" x14ac:dyDescent="0.25"/>
  <cols>
    <col min="1" max="1" width="3" style="3" customWidth="1"/>
    <col min="2" max="2" width="4.42578125" style="3" customWidth="1"/>
    <col min="3" max="3" width="17.42578125" style="3" customWidth="1"/>
    <col min="4" max="17" width="9.140625" style="3"/>
    <col min="18" max="18" width="9.42578125" style="65" bestFit="1" customWidth="1"/>
    <col min="19" max="19" width="12.5703125" style="65" bestFit="1" customWidth="1"/>
    <col min="20" max="20" width="7" style="65" customWidth="1"/>
    <col min="21" max="21" width="12.5703125" style="65" bestFit="1" customWidth="1"/>
    <col min="22" max="22" width="12.42578125" style="65" bestFit="1" customWidth="1"/>
    <col min="23" max="16384" width="9.140625" style="3"/>
  </cols>
  <sheetData>
    <row r="1" spans="2:20" ht="11.25" customHeight="1" x14ac:dyDescent="0.25"/>
    <row r="2" spans="2:20" ht="12" customHeight="1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S2" s="69"/>
      <c r="T2" s="69"/>
    </row>
    <row r="3" spans="2:20" x14ac:dyDescent="0.25"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  <c r="S3" s="69"/>
      <c r="T3" s="69"/>
    </row>
    <row r="4" spans="2:20" x14ac:dyDescent="0.25"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9"/>
      <c r="S4" s="69"/>
      <c r="T4" s="69"/>
    </row>
    <row r="5" spans="2:20" x14ac:dyDescent="0.25"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9"/>
      <c r="S5" s="69"/>
      <c r="T5" s="69"/>
    </row>
    <row r="6" spans="2:20" x14ac:dyDescent="0.25"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9"/>
      <c r="S6" s="69"/>
      <c r="T6" s="69"/>
    </row>
    <row r="7" spans="2:20" x14ac:dyDescent="0.25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9"/>
      <c r="S7" s="69"/>
      <c r="T7" s="69"/>
    </row>
    <row r="8" spans="2:20" x14ac:dyDescent="0.25"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9"/>
      <c r="S8" s="69"/>
      <c r="T8" s="69"/>
    </row>
    <row r="9" spans="2:20" x14ac:dyDescent="0.25"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9"/>
      <c r="S9" s="69"/>
      <c r="T9" s="69"/>
    </row>
    <row r="10" spans="2:20" x14ac:dyDescent="0.25"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9"/>
      <c r="S10" s="69"/>
      <c r="T10" s="69"/>
    </row>
    <row r="11" spans="2:20" x14ac:dyDescent="0.25"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9"/>
      <c r="S11" s="69"/>
      <c r="T11" s="69"/>
    </row>
    <row r="12" spans="2:20" x14ac:dyDescent="0.25"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9"/>
      <c r="S12" s="69"/>
      <c r="T12" s="69"/>
    </row>
    <row r="13" spans="2:20" x14ac:dyDescent="0.25"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9"/>
      <c r="S13" s="69"/>
      <c r="T13" s="69"/>
    </row>
    <row r="14" spans="2:20" x14ac:dyDescent="0.25"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9"/>
      <c r="S14" s="69"/>
      <c r="T14" s="69"/>
    </row>
    <row r="15" spans="2:20" x14ac:dyDescent="0.25"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9"/>
      <c r="S15" s="69"/>
      <c r="T15" s="69"/>
    </row>
    <row r="16" spans="2:20" x14ac:dyDescent="0.25"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9"/>
      <c r="S16" s="69"/>
      <c r="T16" s="69"/>
    </row>
    <row r="17" spans="2:23" x14ac:dyDescent="0.25"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9"/>
      <c r="S17" s="69"/>
      <c r="T17" s="69"/>
    </row>
    <row r="18" spans="2:23" ht="9" customHeight="1" x14ac:dyDescent="0.25"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9"/>
      <c r="S18" s="69"/>
      <c r="T18" s="69"/>
    </row>
    <row r="19" spans="2:23" ht="10.5" customHeight="1" x14ac:dyDescent="0.25"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9"/>
      <c r="S19" s="69"/>
      <c r="T19" s="69"/>
    </row>
    <row r="20" spans="2:23" x14ac:dyDescent="0.25"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9"/>
      <c r="S20" s="69"/>
      <c r="T20" s="69"/>
    </row>
    <row r="21" spans="2:23" x14ac:dyDescent="0.25"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9"/>
      <c r="S21" s="69"/>
      <c r="T21" s="69"/>
    </row>
    <row r="22" spans="2:23" ht="11.25" customHeight="1" x14ac:dyDescent="0.25"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9"/>
      <c r="S22" s="69"/>
      <c r="T22" s="69"/>
    </row>
    <row r="23" spans="2:23" x14ac:dyDescent="0.25"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9"/>
      <c r="S23" s="69"/>
      <c r="T23" s="69"/>
    </row>
    <row r="24" spans="2:23" x14ac:dyDescent="0.25"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9"/>
      <c r="S24" s="69"/>
      <c r="T24" s="69"/>
    </row>
    <row r="25" spans="2:23" x14ac:dyDescent="0.25"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9"/>
      <c r="S25" s="69"/>
      <c r="T25" s="69"/>
    </row>
    <row r="26" spans="2:23" x14ac:dyDescent="0.2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9"/>
      <c r="S26" s="69"/>
      <c r="T26" s="69"/>
    </row>
    <row r="27" spans="2:23" ht="18.75" customHeight="1" x14ac:dyDescent="0.25"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9"/>
      <c r="S27" s="69"/>
      <c r="T27" s="69"/>
    </row>
    <row r="28" spans="2:23" x14ac:dyDescent="0.25">
      <c r="B28" s="68"/>
      <c r="C28" s="72"/>
      <c r="D28" s="70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83"/>
      <c r="S28" s="84"/>
      <c r="T28" s="84"/>
      <c r="U28" s="67"/>
      <c r="V28" s="66"/>
      <c r="W28" s="66"/>
    </row>
    <row r="29" spans="2:23" x14ac:dyDescent="0.25">
      <c r="R29" s="66"/>
      <c r="S29" s="67"/>
      <c r="T29" s="67"/>
      <c r="U29" s="66"/>
      <c r="V29" s="66"/>
      <c r="W29" s="66"/>
    </row>
    <row r="30" spans="2:23" x14ac:dyDescent="0.25">
      <c r="R30" s="66"/>
      <c r="S30" s="66"/>
      <c r="T30" s="66"/>
      <c r="U30" s="66"/>
      <c r="V30" s="66"/>
      <c r="W30" s="66"/>
    </row>
  </sheetData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9" tint="0.59999389629810485"/>
  </sheetPr>
  <dimension ref="B1:U6"/>
  <sheetViews>
    <sheetView workbookViewId="0"/>
  </sheetViews>
  <sheetFormatPr defaultRowHeight="15" customHeight="1" x14ac:dyDescent="0.25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 x14ac:dyDescent="0.25"/>
    <row r="2" spans="2:21" ht="22.5" customHeight="1" x14ac:dyDescent="0.25"/>
    <row r="3" spans="2:21" ht="61.5" customHeight="1" x14ac:dyDescent="0.25">
      <c r="B3" s="106" t="s">
        <v>314</v>
      </c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</row>
    <row r="5" spans="2:21" ht="30" customHeight="1" x14ac:dyDescent="0.25">
      <c r="B5" s="105" t="s">
        <v>48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</row>
    <row r="6" spans="2:21" ht="30" customHeight="1" x14ac:dyDescent="0.25"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</row>
  </sheetData>
  <mergeCells count="2">
    <mergeCell ref="B5:U6"/>
    <mergeCell ref="B3:U3"/>
  </mergeCells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1</xdr:col>
                    <xdr:colOff>9525</xdr:colOff>
                    <xdr:row>6</xdr:row>
                    <xdr:rowOff>180975</xdr:rowOff>
                  </from>
                  <to>
                    <xdr:col>20</xdr:col>
                    <xdr:colOff>590550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</xdr:col>
                    <xdr:colOff>180975</xdr:colOff>
                    <xdr:row>8</xdr:row>
                    <xdr:rowOff>0</xdr:rowOff>
                  </from>
                  <to>
                    <xdr:col>5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" name="Option Button 75">
              <controlPr defaultSize="0" autoFill="0" autoLine="0" autoPict="0">
                <anchor moveWithCells="1">
                  <from>
                    <xdr:col>5</xdr:col>
                    <xdr:colOff>114300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" name="Option Button 76">
              <controlPr defaultSize="0" autoFill="0" autoLine="0" autoPict="0">
                <anchor moveWithCells="1">
                  <from>
                    <xdr:col>9</xdr:col>
                    <xdr:colOff>47625</xdr:colOff>
                    <xdr:row>8</xdr:row>
                    <xdr:rowOff>0</xdr:rowOff>
                  </from>
                  <to>
                    <xdr:col>12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8" name="Option Button 196">
              <controlPr defaultSize="0" autoFill="0" autoLine="0" autoPict="0">
                <anchor moveWithCells="1">
                  <from>
                    <xdr:col>12</xdr:col>
                    <xdr:colOff>590550</xdr:colOff>
                    <xdr:row>8</xdr:row>
                    <xdr:rowOff>0</xdr:rowOff>
                  </from>
                  <to>
                    <xdr:col>16</xdr:col>
                    <xdr:colOff>476250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9" name="Option Button 197">
              <controlPr defaultSize="0" autoFill="0" autoLine="0" autoPict="0">
                <anchor moveWithCells="1">
                  <from>
                    <xdr:col>16</xdr:col>
                    <xdr:colOff>523875</xdr:colOff>
                    <xdr:row>8</xdr:row>
                    <xdr:rowOff>0</xdr:rowOff>
                  </from>
                  <to>
                    <xdr:col>20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10" name="Group Box 377">
              <controlPr defaultSize="0" autoFill="0" autoPict="0">
                <anchor moveWithCells="1">
                  <from>
                    <xdr:col>1</xdr:col>
                    <xdr:colOff>9525</xdr:colOff>
                    <xdr:row>10</xdr:row>
                    <xdr:rowOff>114300</xdr:rowOff>
                  </from>
                  <to>
                    <xdr:col>20</xdr:col>
                    <xdr:colOff>590550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11" name="Option Button 378">
              <controlPr defaultSize="0" autoFill="0" autoLine="0" autoPict="0">
                <anchor moveWithCells="1">
                  <from>
                    <xdr:col>1</xdr:col>
                    <xdr:colOff>180975</xdr:colOff>
                    <xdr:row>11</xdr:row>
                    <xdr:rowOff>123825</xdr:rowOff>
                  </from>
                  <to>
                    <xdr:col>5</xdr:col>
                    <xdr:colOff>66675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12" name="Option Button 379">
              <controlPr defaultSize="0" autoFill="0" autoLine="0" autoPict="0">
                <anchor moveWithCells="1">
                  <from>
                    <xdr:col>5</xdr:col>
                    <xdr:colOff>114300</xdr:colOff>
                    <xdr:row>11</xdr:row>
                    <xdr:rowOff>123825</xdr:rowOff>
                  </from>
                  <to>
                    <xdr:col>9</xdr:col>
                    <xdr:colOff>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13" name="Option Button 380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123825</xdr:rowOff>
                  </from>
                  <to>
                    <xdr:col>12</xdr:col>
                    <xdr:colOff>542925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14" name="Option Button 381">
              <controlPr defaultSize="0" autoFill="0" autoLine="0" autoPict="0">
                <anchor moveWithCells="1">
                  <from>
                    <xdr:col>12</xdr:col>
                    <xdr:colOff>590550</xdr:colOff>
                    <xdr:row>11</xdr:row>
                    <xdr:rowOff>123825</xdr:rowOff>
                  </from>
                  <to>
                    <xdr:col>16</xdr:col>
                    <xdr:colOff>476250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15" name="Option Button 382">
              <controlPr defaultSize="0" autoFill="0" autoLine="0" autoPict="0">
                <anchor moveWithCells="1">
                  <from>
                    <xdr:col>16</xdr:col>
                    <xdr:colOff>523875</xdr:colOff>
                    <xdr:row>11</xdr:row>
                    <xdr:rowOff>123825</xdr:rowOff>
                  </from>
                  <to>
                    <xdr:col>20</xdr:col>
                    <xdr:colOff>409575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16" name="Group Box 383">
              <controlPr defaultSize="0" autoFill="0" autoPict="0">
                <anchor moveWithCells="1">
                  <from>
                    <xdr:col>1</xdr:col>
                    <xdr:colOff>9525</xdr:colOff>
                    <xdr:row>14</xdr:row>
                    <xdr:rowOff>47625</xdr:rowOff>
                  </from>
                  <to>
                    <xdr:col>20</xdr:col>
                    <xdr:colOff>590550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17" name="Option Button 384">
              <controlPr defaultSize="0" autoFill="0" autoLine="0" autoPict="0">
                <anchor moveWithCells="1">
                  <from>
                    <xdr:col>1</xdr:col>
                    <xdr:colOff>180975</xdr:colOff>
                    <xdr:row>15</xdr:row>
                    <xdr:rowOff>57150</xdr:rowOff>
                  </from>
                  <to>
                    <xdr:col>5</xdr:col>
                    <xdr:colOff>66675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18" name="Option Button 385">
              <controlPr defaultSize="0" autoFill="0" autoLine="0" autoPict="0">
                <anchor moveWithCells="1">
                  <from>
                    <xdr:col>5</xdr:col>
                    <xdr:colOff>114300</xdr:colOff>
                    <xdr:row>15</xdr:row>
                    <xdr:rowOff>57150</xdr:rowOff>
                  </from>
                  <to>
                    <xdr:col>9</xdr:col>
                    <xdr:colOff>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19" name="Option Button 386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57150</xdr:rowOff>
                  </from>
                  <to>
                    <xdr:col>12</xdr:col>
                    <xdr:colOff>542925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20" name="Option Button 387">
              <controlPr defaultSize="0" autoFill="0" autoLine="0" autoPict="0">
                <anchor moveWithCells="1">
                  <from>
                    <xdr:col>12</xdr:col>
                    <xdr:colOff>590550</xdr:colOff>
                    <xdr:row>15</xdr:row>
                    <xdr:rowOff>57150</xdr:rowOff>
                  </from>
                  <to>
                    <xdr:col>16</xdr:col>
                    <xdr:colOff>476250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21" name="Option Button 388">
              <controlPr defaultSize="0" autoFill="0" autoLine="0" autoPict="0">
                <anchor moveWithCells="1">
                  <from>
                    <xdr:col>16</xdr:col>
                    <xdr:colOff>523875</xdr:colOff>
                    <xdr:row>15</xdr:row>
                    <xdr:rowOff>57150</xdr:rowOff>
                  </from>
                  <to>
                    <xdr:col>20</xdr:col>
                    <xdr:colOff>409575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22" name="Group Box 389">
              <controlPr defaultSize="0" autoFill="0" autoPict="0">
                <anchor moveWithCells="1">
                  <from>
                    <xdr:col>1</xdr:col>
                    <xdr:colOff>9525</xdr:colOff>
                    <xdr:row>17</xdr:row>
                    <xdr:rowOff>171450</xdr:rowOff>
                  </from>
                  <to>
                    <xdr:col>20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23" name="Option Button 390">
              <controlPr defaultSize="0" autoFill="0" autoLine="0" autoPict="0">
                <anchor moveWithCells="1">
                  <from>
                    <xdr:col>1</xdr:col>
                    <xdr:colOff>180975</xdr:colOff>
                    <xdr:row>18</xdr:row>
                    <xdr:rowOff>180975</xdr:rowOff>
                  </from>
                  <to>
                    <xdr:col>5</xdr:col>
                    <xdr:colOff>66675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24" name="Option Button 391">
              <controlPr defaultSize="0" autoFill="0" autoLine="0" autoPict="0">
                <anchor moveWithCells="1">
                  <from>
                    <xdr:col>5</xdr:col>
                    <xdr:colOff>114300</xdr:colOff>
                    <xdr:row>18</xdr:row>
                    <xdr:rowOff>180975</xdr:rowOff>
                  </from>
                  <to>
                    <xdr:col>9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25" name="Option Button 392">
              <controlPr defaultSize="0" autoFill="0" autoLine="0" autoPict="0">
                <anchor moveWithCells="1">
                  <from>
                    <xdr:col>9</xdr:col>
                    <xdr:colOff>47625</xdr:colOff>
                    <xdr:row>18</xdr:row>
                    <xdr:rowOff>180975</xdr:rowOff>
                  </from>
                  <to>
                    <xdr:col>12</xdr:col>
                    <xdr:colOff>542925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26" name="Option Button 393">
              <controlPr defaultSize="0" autoFill="0" autoLine="0" autoPict="0">
                <anchor moveWithCells="1">
                  <from>
                    <xdr:col>12</xdr:col>
                    <xdr:colOff>590550</xdr:colOff>
                    <xdr:row>18</xdr:row>
                    <xdr:rowOff>180975</xdr:rowOff>
                  </from>
                  <to>
                    <xdr:col>16</xdr:col>
                    <xdr:colOff>476250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27" name="Option Button 394">
              <controlPr defaultSize="0" autoFill="0" autoLine="0" autoPict="0">
                <anchor moveWithCells="1">
                  <from>
                    <xdr:col>16</xdr:col>
                    <xdr:colOff>523875</xdr:colOff>
                    <xdr:row>18</xdr:row>
                    <xdr:rowOff>180975</xdr:rowOff>
                  </from>
                  <to>
                    <xdr:col>20</xdr:col>
                    <xdr:colOff>409575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28" name="Group Box 395">
              <controlPr defaultSize="0" autoFill="0" autoPict="0">
                <anchor moveWithCells="1">
                  <from>
                    <xdr:col>1</xdr:col>
                    <xdr:colOff>9525</xdr:colOff>
                    <xdr:row>21</xdr:row>
                    <xdr:rowOff>104775</xdr:rowOff>
                  </from>
                  <to>
                    <xdr:col>20</xdr:col>
                    <xdr:colOff>590550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29" name="Option Button 396">
              <controlPr defaultSize="0" autoFill="0" autoLine="0" autoPict="0">
                <anchor moveWithCells="1">
                  <from>
                    <xdr:col>1</xdr:col>
                    <xdr:colOff>180975</xdr:colOff>
                    <xdr:row>22</xdr:row>
                    <xdr:rowOff>114300</xdr:rowOff>
                  </from>
                  <to>
                    <xdr:col>5</xdr:col>
                    <xdr:colOff>66675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0" name="Option Button 397">
              <controlPr defaultSize="0" autoFill="0" autoLine="0" autoPict="0">
                <anchor moveWithCells="1">
                  <from>
                    <xdr:col>5</xdr:col>
                    <xdr:colOff>114300</xdr:colOff>
                    <xdr:row>22</xdr:row>
                    <xdr:rowOff>114300</xdr:rowOff>
                  </from>
                  <to>
                    <xdr:col>9</xdr:col>
                    <xdr:colOff>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1" name="Option Button 398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114300</xdr:rowOff>
                  </from>
                  <to>
                    <xdr:col>12</xdr:col>
                    <xdr:colOff>542925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" name="Option Button 399">
              <controlPr defaultSize="0" autoFill="0" autoLine="0" autoPict="0">
                <anchor moveWithCells="1">
                  <from>
                    <xdr:col>12</xdr:col>
                    <xdr:colOff>590550</xdr:colOff>
                    <xdr:row>22</xdr:row>
                    <xdr:rowOff>114300</xdr:rowOff>
                  </from>
                  <to>
                    <xdr:col>16</xdr:col>
                    <xdr:colOff>476250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3" name="Option Button 400">
              <controlPr defaultSize="0" autoFill="0" autoLine="0" autoPict="0">
                <anchor moveWithCells="1">
                  <from>
                    <xdr:col>16</xdr:col>
                    <xdr:colOff>523875</xdr:colOff>
                    <xdr:row>22</xdr:row>
                    <xdr:rowOff>114300</xdr:rowOff>
                  </from>
                  <to>
                    <xdr:col>20</xdr:col>
                    <xdr:colOff>409575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4" name="Group Box 401">
              <controlPr defaultSize="0" autoFill="0" autoPict="0">
                <anchor moveWithCells="1">
                  <from>
                    <xdr:col>1</xdr:col>
                    <xdr:colOff>9525</xdr:colOff>
                    <xdr:row>25</xdr:row>
                    <xdr:rowOff>38100</xdr:rowOff>
                  </from>
                  <to>
                    <xdr:col>20</xdr:col>
                    <xdr:colOff>590550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5" name="Option Button 402">
              <controlPr defaultSize="0" autoFill="0" autoLine="0" autoPict="0">
                <anchor moveWithCells="1">
                  <from>
                    <xdr:col>1</xdr:col>
                    <xdr:colOff>180975</xdr:colOff>
                    <xdr:row>26</xdr:row>
                    <xdr:rowOff>47625</xdr:rowOff>
                  </from>
                  <to>
                    <xdr:col>5</xdr:col>
                    <xdr:colOff>66675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6" name="Option Button 403">
              <controlPr defaultSize="0" autoFill="0" autoLine="0" autoPict="0">
                <anchor moveWithCells="1">
                  <from>
                    <xdr:col>5</xdr:col>
                    <xdr:colOff>114300</xdr:colOff>
                    <xdr:row>26</xdr:row>
                    <xdr:rowOff>47625</xdr:rowOff>
                  </from>
                  <to>
                    <xdr:col>9</xdr:col>
                    <xdr:colOff>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7" name="Option Button 404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47625</xdr:rowOff>
                  </from>
                  <to>
                    <xdr:col>12</xdr:col>
                    <xdr:colOff>542925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8" name="Option Button 405">
              <controlPr defaultSize="0" autoFill="0" autoLine="0" autoPict="0">
                <anchor moveWithCells="1">
                  <from>
                    <xdr:col>12</xdr:col>
                    <xdr:colOff>590550</xdr:colOff>
                    <xdr:row>26</xdr:row>
                    <xdr:rowOff>47625</xdr:rowOff>
                  </from>
                  <to>
                    <xdr:col>16</xdr:col>
                    <xdr:colOff>476250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9" name="Option Button 406">
              <controlPr defaultSize="0" autoFill="0" autoLine="0" autoPict="0">
                <anchor moveWithCells="1">
                  <from>
                    <xdr:col>16</xdr:col>
                    <xdr:colOff>523875</xdr:colOff>
                    <xdr:row>26</xdr:row>
                    <xdr:rowOff>47625</xdr:rowOff>
                  </from>
                  <to>
                    <xdr:col>20</xdr:col>
                    <xdr:colOff>409575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40" name="Group Box 407">
              <controlPr defaultSize="0" autoFill="0" autoPict="0">
                <anchor moveWithCells="1">
                  <from>
                    <xdr:col>1</xdr:col>
                    <xdr:colOff>9525</xdr:colOff>
                    <xdr:row>28</xdr:row>
                    <xdr:rowOff>133350</xdr:rowOff>
                  </from>
                  <to>
                    <xdr:col>20</xdr:col>
                    <xdr:colOff>590550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41" name="Option Button 408">
              <controlPr defaultSize="0" autoFill="0" autoLine="0" autoPict="0">
                <anchor moveWithCells="1">
                  <from>
                    <xdr:col>1</xdr:col>
                    <xdr:colOff>180975</xdr:colOff>
                    <xdr:row>29</xdr:row>
                    <xdr:rowOff>142875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42" name="Option Button 409">
              <controlPr defaultSize="0" autoFill="0" autoLine="0" autoPict="0">
                <anchor moveWithCells="1">
                  <from>
                    <xdr:col>5</xdr:col>
                    <xdr:colOff>114300</xdr:colOff>
                    <xdr:row>29</xdr:row>
                    <xdr:rowOff>142875</xdr:rowOff>
                  </from>
                  <to>
                    <xdr:col>9</xdr:col>
                    <xdr:colOff>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43" name="Option Button 410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142875</xdr:rowOff>
                  </from>
                  <to>
                    <xdr:col>12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44" name="Option Button 411">
              <controlPr defaultSize="0" autoFill="0" autoLine="0" autoPict="0">
                <anchor moveWithCells="1">
                  <from>
                    <xdr:col>12</xdr:col>
                    <xdr:colOff>590550</xdr:colOff>
                    <xdr:row>29</xdr:row>
                    <xdr:rowOff>142875</xdr:rowOff>
                  </from>
                  <to>
                    <xdr:col>16</xdr:col>
                    <xdr:colOff>476250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45" name="Option Button 412">
              <controlPr defaultSize="0" autoFill="0" autoLine="0" autoPict="0">
                <anchor moveWithCells="1">
                  <from>
                    <xdr:col>16</xdr:col>
                    <xdr:colOff>523875</xdr:colOff>
                    <xdr:row>29</xdr:row>
                    <xdr:rowOff>142875</xdr:rowOff>
                  </from>
                  <to>
                    <xdr:col>20</xdr:col>
                    <xdr:colOff>409575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46" name="Group Box 413">
              <controlPr defaultSize="0" autoFill="0" autoPict="0">
                <anchor moveWithCells="1">
                  <from>
                    <xdr:col>1</xdr:col>
                    <xdr:colOff>9525</xdr:colOff>
                    <xdr:row>32</xdr:row>
                    <xdr:rowOff>66675</xdr:rowOff>
                  </from>
                  <to>
                    <xdr:col>20</xdr:col>
                    <xdr:colOff>590550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47" name="Option Button 414">
              <controlPr defaultSize="0" autoFill="0" autoLine="0" autoPict="0">
                <anchor moveWithCells="1">
                  <from>
                    <xdr:col>1</xdr:col>
                    <xdr:colOff>180975</xdr:colOff>
                    <xdr:row>33</xdr:row>
                    <xdr:rowOff>76200</xdr:rowOff>
                  </from>
                  <to>
                    <xdr:col>5</xdr:col>
                    <xdr:colOff>66675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48" name="Option Button 415">
              <controlPr defaultSize="0" autoFill="0" autoLine="0" autoPict="0">
                <anchor moveWithCells="1">
                  <from>
                    <xdr:col>5</xdr:col>
                    <xdr:colOff>114300</xdr:colOff>
                    <xdr:row>33</xdr:row>
                    <xdr:rowOff>76200</xdr:rowOff>
                  </from>
                  <to>
                    <xdr:col>9</xdr:col>
                    <xdr:colOff>0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49" name="Option Button 416">
              <controlPr defaultSize="0" autoFill="0" autoLine="0" autoPict="0">
                <anchor moveWithCells="1">
                  <from>
                    <xdr:col>9</xdr:col>
                    <xdr:colOff>47625</xdr:colOff>
                    <xdr:row>33</xdr:row>
                    <xdr:rowOff>76200</xdr:rowOff>
                  </from>
                  <to>
                    <xdr:col>12</xdr:col>
                    <xdr:colOff>542925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50" name="Option Button 417">
              <controlPr defaultSize="0" autoFill="0" autoLine="0" autoPict="0">
                <anchor moveWithCells="1">
                  <from>
                    <xdr:col>12</xdr:col>
                    <xdr:colOff>590550</xdr:colOff>
                    <xdr:row>33</xdr:row>
                    <xdr:rowOff>76200</xdr:rowOff>
                  </from>
                  <to>
                    <xdr:col>16</xdr:col>
                    <xdr:colOff>476250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51" name="Option Button 418">
              <controlPr defaultSize="0" autoFill="0" autoLine="0" autoPict="0">
                <anchor moveWithCells="1">
                  <from>
                    <xdr:col>16</xdr:col>
                    <xdr:colOff>523875</xdr:colOff>
                    <xdr:row>33</xdr:row>
                    <xdr:rowOff>76200</xdr:rowOff>
                  </from>
                  <to>
                    <xdr:col>20</xdr:col>
                    <xdr:colOff>409575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52" name="Group Box 419">
              <controlPr defaultSize="0" autoFill="0" autoPict="0">
                <anchor moveWithCells="1">
                  <from>
                    <xdr:col>1</xdr:col>
                    <xdr:colOff>9525</xdr:colOff>
                    <xdr:row>36</xdr:row>
                    <xdr:rowOff>0</xdr:rowOff>
                  </from>
                  <to>
                    <xdr:col>20</xdr:col>
                    <xdr:colOff>590550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53" name="Option Button 420">
              <controlPr defaultSize="0" autoFill="0" autoLine="0" autoPict="0">
                <anchor moveWithCells="1">
                  <from>
                    <xdr:col>1</xdr:col>
                    <xdr:colOff>180975</xdr:colOff>
                    <xdr:row>37</xdr:row>
                    <xdr:rowOff>9525</xdr:rowOff>
                  </from>
                  <to>
                    <xdr:col>5</xdr:col>
                    <xdr:colOff>66675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54" name="Option Button 421">
              <controlPr defaultSize="0" autoFill="0" autoLine="0" autoPict="0">
                <anchor moveWithCells="1">
                  <from>
                    <xdr:col>5</xdr:col>
                    <xdr:colOff>114300</xdr:colOff>
                    <xdr:row>37</xdr:row>
                    <xdr:rowOff>9525</xdr:rowOff>
                  </from>
                  <to>
                    <xdr:col>9</xdr:col>
                    <xdr:colOff>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55" name="Option Button 422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9525</xdr:rowOff>
                  </from>
                  <to>
                    <xdr:col>12</xdr:col>
                    <xdr:colOff>542925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56" name="Option Button 423">
              <controlPr defaultSize="0" autoFill="0" autoLine="0" autoPict="0">
                <anchor moveWithCells="1">
                  <from>
                    <xdr:col>12</xdr:col>
                    <xdr:colOff>590550</xdr:colOff>
                    <xdr:row>37</xdr:row>
                    <xdr:rowOff>9525</xdr:rowOff>
                  </from>
                  <to>
                    <xdr:col>16</xdr:col>
                    <xdr:colOff>476250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57" name="Option Button 424">
              <controlPr defaultSize="0" autoFill="0" autoLine="0" autoPict="0">
                <anchor moveWithCells="1">
                  <from>
                    <xdr:col>16</xdr:col>
                    <xdr:colOff>523875</xdr:colOff>
                    <xdr:row>37</xdr:row>
                    <xdr:rowOff>9525</xdr:rowOff>
                  </from>
                  <to>
                    <xdr:col>20</xdr:col>
                    <xdr:colOff>409575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58" name="Group Box 425">
              <controlPr defaultSize="0" autoFill="0" autoPict="0" altText="10.Adoto como parâmetro nas negociações, o ditado: &quot;quem não arrisca, não petisca&quot;.">
                <anchor moveWithCells="1">
                  <from>
                    <xdr:col>1</xdr:col>
                    <xdr:colOff>9525</xdr:colOff>
                    <xdr:row>39</xdr:row>
                    <xdr:rowOff>123825</xdr:rowOff>
                  </from>
                  <to>
                    <xdr:col>20</xdr:col>
                    <xdr:colOff>590550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59" name="Option Button 426">
              <controlPr defaultSize="0" autoFill="0" autoLine="0" autoPict="0">
                <anchor moveWithCells="1">
                  <from>
                    <xdr:col>1</xdr:col>
                    <xdr:colOff>180975</xdr:colOff>
                    <xdr:row>40</xdr:row>
                    <xdr:rowOff>133350</xdr:rowOff>
                  </from>
                  <to>
                    <xdr:col>5</xdr:col>
                    <xdr:colOff>66675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60" name="Option Button 427">
              <controlPr defaultSize="0" autoFill="0" autoLine="0" autoPict="0">
                <anchor moveWithCells="1">
                  <from>
                    <xdr:col>5</xdr:col>
                    <xdr:colOff>114300</xdr:colOff>
                    <xdr:row>40</xdr:row>
                    <xdr:rowOff>133350</xdr:rowOff>
                  </from>
                  <to>
                    <xdr:col>9</xdr:col>
                    <xdr:colOff>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61" name="Option Button 428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133350</xdr:rowOff>
                  </from>
                  <to>
                    <xdr:col>12</xdr:col>
                    <xdr:colOff>542925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62" name="Option Button 429">
              <controlPr defaultSize="0" autoFill="0" autoLine="0" autoPict="0">
                <anchor moveWithCells="1">
                  <from>
                    <xdr:col>12</xdr:col>
                    <xdr:colOff>590550</xdr:colOff>
                    <xdr:row>40</xdr:row>
                    <xdr:rowOff>133350</xdr:rowOff>
                  </from>
                  <to>
                    <xdr:col>16</xdr:col>
                    <xdr:colOff>476250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63" name="Option Button 430">
              <controlPr defaultSize="0" autoFill="0" autoLine="0" autoPict="0">
                <anchor moveWithCells="1">
                  <from>
                    <xdr:col>16</xdr:col>
                    <xdr:colOff>523875</xdr:colOff>
                    <xdr:row>40</xdr:row>
                    <xdr:rowOff>133350</xdr:rowOff>
                  </from>
                  <to>
                    <xdr:col>20</xdr:col>
                    <xdr:colOff>409575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64" name="Group Box 431">
              <controlPr defaultSize="0" autoFill="0" autoPict="0">
                <anchor moveWithCells="1">
                  <from>
                    <xdr:col>1</xdr:col>
                    <xdr:colOff>9525</xdr:colOff>
                    <xdr:row>43</xdr:row>
                    <xdr:rowOff>57150</xdr:rowOff>
                  </from>
                  <to>
                    <xdr:col>20</xdr:col>
                    <xdr:colOff>590550</xdr:colOff>
                    <xdr:row>46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65" name="Option Button 432">
              <controlPr defaultSize="0" autoFill="0" autoLine="0" autoPict="0">
                <anchor moveWithCells="1">
                  <from>
                    <xdr:col>1</xdr:col>
                    <xdr:colOff>180975</xdr:colOff>
                    <xdr:row>44</xdr:row>
                    <xdr:rowOff>66675</xdr:rowOff>
                  </from>
                  <to>
                    <xdr:col>5</xdr:col>
                    <xdr:colOff>66675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66" name="Option Button 433">
              <controlPr defaultSize="0" autoFill="0" autoLine="0" autoPict="0">
                <anchor moveWithCells="1">
                  <from>
                    <xdr:col>5</xdr:col>
                    <xdr:colOff>114300</xdr:colOff>
                    <xdr:row>44</xdr:row>
                    <xdr:rowOff>66675</xdr:rowOff>
                  </from>
                  <to>
                    <xdr:col>9</xdr:col>
                    <xdr:colOff>0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67" name="Option Button 434">
              <controlPr defaultSize="0" autoFill="0" autoLine="0" autoPict="0">
                <anchor moveWithCells="1">
                  <from>
                    <xdr:col>9</xdr:col>
                    <xdr:colOff>47625</xdr:colOff>
                    <xdr:row>44</xdr:row>
                    <xdr:rowOff>66675</xdr:rowOff>
                  </from>
                  <to>
                    <xdr:col>12</xdr:col>
                    <xdr:colOff>542925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68" name="Option Button 435">
              <controlPr defaultSize="0" autoFill="0" autoLine="0" autoPict="0">
                <anchor moveWithCells="1">
                  <from>
                    <xdr:col>12</xdr:col>
                    <xdr:colOff>590550</xdr:colOff>
                    <xdr:row>44</xdr:row>
                    <xdr:rowOff>66675</xdr:rowOff>
                  </from>
                  <to>
                    <xdr:col>16</xdr:col>
                    <xdr:colOff>476250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69" name="Option Button 436">
              <controlPr defaultSize="0" autoFill="0" autoLine="0" autoPict="0">
                <anchor moveWithCells="1">
                  <from>
                    <xdr:col>16</xdr:col>
                    <xdr:colOff>523875</xdr:colOff>
                    <xdr:row>44</xdr:row>
                    <xdr:rowOff>66675</xdr:rowOff>
                  </from>
                  <to>
                    <xdr:col>20</xdr:col>
                    <xdr:colOff>409575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70" name="Group Box 437">
              <controlPr defaultSize="0" autoFill="0" autoPict="0">
                <anchor moveWithCells="1">
                  <from>
                    <xdr:col>1</xdr:col>
                    <xdr:colOff>9525</xdr:colOff>
                    <xdr:row>46</xdr:row>
                    <xdr:rowOff>180975</xdr:rowOff>
                  </from>
                  <to>
                    <xdr:col>20</xdr:col>
                    <xdr:colOff>590550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71" name="Option Button 438">
              <controlPr defaultSize="0" autoFill="0" autoLine="0" autoPict="0">
                <anchor moveWithCells="1">
                  <from>
                    <xdr:col>1</xdr:col>
                    <xdr:colOff>180975</xdr:colOff>
                    <xdr:row>48</xdr:row>
                    <xdr:rowOff>0</xdr:rowOff>
                  </from>
                  <to>
                    <xdr:col>5</xdr:col>
                    <xdr:colOff>66675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72" name="Option Button 439">
              <controlPr defaultSize="0" autoFill="0" autoLine="0" autoPict="0">
                <anchor moveWithCells="1">
                  <from>
                    <xdr:col>5</xdr:col>
                    <xdr:colOff>114300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73" name="Option Button 440">
              <controlPr defaultSize="0" autoFill="0" autoLine="0" autoPict="0">
                <anchor moveWithCells="1">
                  <from>
                    <xdr:col>9</xdr:col>
                    <xdr:colOff>47625</xdr:colOff>
                    <xdr:row>48</xdr:row>
                    <xdr:rowOff>0</xdr:rowOff>
                  </from>
                  <to>
                    <xdr:col>12</xdr:col>
                    <xdr:colOff>542925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74" name="Option Button 441">
              <controlPr defaultSize="0" autoFill="0" autoLine="0" autoPict="0">
                <anchor moveWithCells="1">
                  <from>
                    <xdr:col>12</xdr:col>
                    <xdr:colOff>590550</xdr:colOff>
                    <xdr:row>48</xdr:row>
                    <xdr:rowOff>0</xdr:rowOff>
                  </from>
                  <to>
                    <xdr:col>16</xdr:col>
                    <xdr:colOff>476250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75" name="Option Button 442">
              <controlPr defaultSize="0" autoFill="0" autoLine="0" autoPict="0">
                <anchor moveWithCells="1">
                  <from>
                    <xdr:col>16</xdr:col>
                    <xdr:colOff>523875</xdr:colOff>
                    <xdr:row>48</xdr:row>
                    <xdr:rowOff>0</xdr:rowOff>
                  </from>
                  <to>
                    <xdr:col>20</xdr:col>
                    <xdr:colOff>409575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76" name="Group Box 443">
              <controlPr defaultSize="0" autoFill="0" autoPict="0">
                <anchor moveWithCells="1">
                  <from>
                    <xdr:col>1</xdr:col>
                    <xdr:colOff>9525</xdr:colOff>
                    <xdr:row>50</xdr:row>
                    <xdr:rowOff>114300</xdr:rowOff>
                  </from>
                  <to>
                    <xdr:col>20</xdr:col>
                    <xdr:colOff>590550</xdr:colOff>
                    <xdr:row>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77" name="Option Button 444">
              <controlPr defaultSize="0" autoFill="0" autoLine="0" autoPict="0">
                <anchor moveWithCells="1">
                  <from>
                    <xdr:col>1</xdr:col>
                    <xdr:colOff>180975</xdr:colOff>
                    <xdr:row>51</xdr:row>
                    <xdr:rowOff>123825</xdr:rowOff>
                  </from>
                  <to>
                    <xdr:col>5</xdr:col>
                    <xdr:colOff>66675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78" name="Option Button 445">
              <controlPr defaultSize="0" autoFill="0" autoLine="0" autoPict="0">
                <anchor moveWithCells="1">
                  <from>
                    <xdr:col>5</xdr:col>
                    <xdr:colOff>114300</xdr:colOff>
                    <xdr:row>51</xdr:row>
                    <xdr:rowOff>123825</xdr:rowOff>
                  </from>
                  <to>
                    <xdr:col>9</xdr:col>
                    <xdr:colOff>0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79" name="Option Button 446">
              <controlPr defaultSize="0" autoFill="0" autoLine="0" autoPict="0">
                <anchor moveWithCells="1">
                  <from>
                    <xdr:col>9</xdr:col>
                    <xdr:colOff>47625</xdr:colOff>
                    <xdr:row>51</xdr:row>
                    <xdr:rowOff>123825</xdr:rowOff>
                  </from>
                  <to>
                    <xdr:col>12</xdr:col>
                    <xdr:colOff>542925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80" name="Option Button 447">
              <controlPr defaultSize="0" autoFill="0" autoLine="0" autoPict="0">
                <anchor moveWithCells="1">
                  <from>
                    <xdr:col>12</xdr:col>
                    <xdr:colOff>590550</xdr:colOff>
                    <xdr:row>51</xdr:row>
                    <xdr:rowOff>123825</xdr:rowOff>
                  </from>
                  <to>
                    <xdr:col>16</xdr:col>
                    <xdr:colOff>476250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81" name="Option Button 448">
              <controlPr defaultSize="0" autoFill="0" autoLine="0" autoPict="0">
                <anchor moveWithCells="1">
                  <from>
                    <xdr:col>16</xdr:col>
                    <xdr:colOff>523875</xdr:colOff>
                    <xdr:row>51</xdr:row>
                    <xdr:rowOff>123825</xdr:rowOff>
                  </from>
                  <to>
                    <xdr:col>20</xdr:col>
                    <xdr:colOff>409575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82" name="Group Box 449">
              <controlPr defaultSize="0" autoFill="0" autoPict="0">
                <anchor moveWithCells="1">
                  <from>
                    <xdr:col>1</xdr:col>
                    <xdr:colOff>9525</xdr:colOff>
                    <xdr:row>54</xdr:row>
                    <xdr:rowOff>47625</xdr:rowOff>
                  </from>
                  <to>
                    <xdr:col>20</xdr:col>
                    <xdr:colOff>590550</xdr:colOff>
                    <xdr:row>57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83" name="Option Button 450">
              <controlPr defaultSize="0" autoFill="0" autoLine="0" autoPict="0">
                <anchor moveWithCells="1">
                  <from>
                    <xdr:col>1</xdr:col>
                    <xdr:colOff>180975</xdr:colOff>
                    <xdr:row>55</xdr:row>
                    <xdr:rowOff>57150</xdr:rowOff>
                  </from>
                  <to>
                    <xdr:col>5</xdr:col>
                    <xdr:colOff>66675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84" name="Option Button 451">
              <controlPr defaultSize="0" autoFill="0" autoLine="0" autoPict="0">
                <anchor moveWithCells="1">
                  <from>
                    <xdr:col>5</xdr:col>
                    <xdr:colOff>114300</xdr:colOff>
                    <xdr:row>55</xdr:row>
                    <xdr:rowOff>57150</xdr:rowOff>
                  </from>
                  <to>
                    <xdr:col>9</xdr:col>
                    <xdr:colOff>0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85" name="Option Button 452">
              <controlPr defaultSize="0" autoFill="0" autoLine="0" autoPict="0">
                <anchor moveWithCells="1">
                  <from>
                    <xdr:col>9</xdr:col>
                    <xdr:colOff>47625</xdr:colOff>
                    <xdr:row>55</xdr:row>
                    <xdr:rowOff>57150</xdr:rowOff>
                  </from>
                  <to>
                    <xdr:col>12</xdr:col>
                    <xdr:colOff>542925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86" name="Option Button 453">
              <controlPr defaultSize="0" autoFill="0" autoLine="0" autoPict="0">
                <anchor moveWithCells="1">
                  <from>
                    <xdr:col>12</xdr:col>
                    <xdr:colOff>590550</xdr:colOff>
                    <xdr:row>55</xdr:row>
                    <xdr:rowOff>57150</xdr:rowOff>
                  </from>
                  <to>
                    <xdr:col>16</xdr:col>
                    <xdr:colOff>476250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87" name="Option Button 454">
              <controlPr defaultSize="0" autoFill="0" autoLine="0" autoPict="0">
                <anchor moveWithCells="1">
                  <from>
                    <xdr:col>16</xdr:col>
                    <xdr:colOff>523875</xdr:colOff>
                    <xdr:row>55</xdr:row>
                    <xdr:rowOff>57150</xdr:rowOff>
                  </from>
                  <to>
                    <xdr:col>20</xdr:col>
                    <xdr:colOff>409575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88" name="Group Box 455">
              <controlPr defaultSize="0" autoFill="0" autoPict="0">
                <anchor moveWithCells="1">
                  <from>
                    <xdr:col>1</xdr:col>
                    <xdr:colOff>9525</xdr:colOff>
                    <xdr:row>57</xdr:row>
                    <xdr:rowOff>171450</xdr:rowOff>
                  </from>
                  <to>
                    <xdr:col>20</xdr:col>
                    <xdr:colOff>590550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89" name="Option Button 456">
              <controlPr defaultSize="0" autoFill="0" autoLine="0" autoPict="0">
                <anchor moveWithCells="1">
                  <from>
                    <xdr:col>1</xdr:col>
                    <xdr:colOff>180975</xdr:colOff>
                    <xdr:row>58</xdr:row>
                    <xdr:rowOff>180975</xdr:rowOff>
                  </from>
                  <to>
                    <xdr:col>5</xdr:col>
                    <xdr:colOff>66675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90" name="Option Button 457">
              <controlPr defaultSize="0" autoFill="0" autoLine="0" autoPict="0">
                <anchor moveWithCells="1">
                  <from>
                    <xdr:col>5</xdr:col>
                    <xdr:colOff>114300</xdr:colOff>
                    <xdr:row>58</xdr:row>
                    <xdr:rowOff>180975</xdr:rowOff>
                  </from>
                  <to>
                    <xdr:col>9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91" name="Option Button 458">
              <controlPr defaultSize="0" autoFill="0" autoLine="0" autoPict="0">
                <anchor moveWithCells="1">
                  <from>
                    <xdr:col>9</xdr:col>
                    <xdr:colOff>47625</xdr:colOff>
                    <xdr:row>58</xdr:row>
                    <xdr:rowOff>180975</xdr:rowOff>
                  </from>
                  <to>
                    <xdr:col>12</xdr:col>
                    <xdr:colOff>542925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92" name="Option Button 459">
              <controlPr defaultSize="0" autoFill="0" autoLine="0" autoPict="0">
                <anchor moveWithCells="1">
                  <from>
                    <xdr:col>12</xdr:col>
                    <xdr:colOff>590550</xdr:colOff>
                    <xdr:row>58</xdr:row>
                    <xdr:rowOff>180975</xdr:rowOff>
                  </from>
                  <to>
                    <xdr:col>16</xdr:col>
                    <xdr:colOff>476250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93" name="Option Button 460">
              <controlPr defaultSize="0" autoFill="0" autoLine="0" autoPict="0">
                <anchor moveWithCells="1">
                  <from>
                    <xdr:col>16</xdr:col>
                    <xdr:colOff>523875</xdr:colOff>
                    <xdr:row>58</xdr:row>
                    <xdr:rowOff>180975</xdr:rowOff>
                  </from>
                  <to>
                    <xdr:col>20</xdr:col>
                    <xdr:colOff>409575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94" name="Group Box 461">
              <controlPr defaultSize="0" autoFill="0" autoPict="0">
                <anchor moveWithCells="1">
                  <from>
                    <xdr:col>1</xdr:col>
                    <xdr:colOff>9525</xdr:colOff>
                    <xdr:row>61</xdr:row>
                    <xdr:rowOff>104775</xdr:rowOff>
                  </from>
                  <to>
                    <xdr:col>20</xdr:col>
                    <xdr:colOff>590550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95" name="Option Button 462">
              <controlPr defaultSize="0" autoFill="0" autoLine="0" autoPict="0">
                <anchor moveWithCells="1">
                  <from>
                    <xdr:col>1</xdr:col>
                    <xdr:colOff>180975</xdr:colOff>
                    <xdr:row>62</xdr:row>
                    <xdr:rowOff>114300</xdr:rowOff>
                  </from>
                  <to>
                    <xdr:col>5</xdr:col>
                    <xdr:colOff>66675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96" name="Option Button 463">
              <controlPr defaultSize="0" autoFill="0" autoLine="0" autoPict="0">
                <anchor moveWithCells="1">
                  <from>
                    <xdr:col>5</xdr:col>
                    <xdr:colOff>114300</xdr:colOff>
                    <xdr:row>62</xdr:row>
                    <xdr:rowOff>114300</xdr:rowOff>
                  </from>
                  <to>
                    <xdr:col>9</xdr:col>
                    <xdr:colOff>0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97" name="Option Button 464">
              <controlPr defaultSize="0" autoFill="0" autoLine="0" autoPict="0">
                <anchor moveWithCells="1">
                  <from>
                    <xdr:col>9</xdr:col>
                    <xdr:colOff>47625</xdr:colOff>
                    <xdr:row>62</xdr:row>
                    <xdr:rowOff>114300</xdr:rowOff>
                  </from>
                  <to>
                    <xdr:col>12</xdr:col>
                    <xdr:colOff>542925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98" name="Option Button 465">
              <controlPr defaultSize="0" autoFill="0" autoLine="0" autoPict="0">
                <anchor moveWithCells="1">
                  <from>
                    <xdr:col>12</xdr:col>
                    <xdr:colOff>590550</xdr:colOff>
                    <xdr:row>62</xdr:row>
                    <xdr:rowOff>114300</xdr:rowOff>
                  </from>
                  <to>
                    <xdr:col>16</xdr:col>
                    <xdr:colOff>476250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99" name="Option Button 466">
              <controlPr defaultSize="0" autoFill="0" autoLine="0" autoPict="0">
                <anchor moveWithCells="1">
                  <from>
                    <xdr:col>16</xdr:col>
                    <xdr:colOff>523875</xdr:colOff>
                    <xdr:row>62</xdr:row>
                    <xdr:rowOff>114300</xdr:rowOff>
                  </from>
                  <to>
                    <xdr:col>20</xdr:col>
                    <xdr:colOff>409575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100" name="Group Box 467">
              <controlPr defaultSize="0" autoFill="0" autoPict="0">
                <anchor moveWithCells="1">
                  <from>
                    <xdr:col>1</xdr:col>
                    <xdr:colOff>9525</xdr:colOff>
                    <xdr:row>65</xdr:row>
                    <xdr:rowOff>38100</xdr:rowOff>
                  </from>
                  <to>
                    <xdr:col>20</xdr:col>
                    <xdr:colOff>590550</xdr:colOff>
                    <xdr:row>68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101" name="Option Button 468">
              <controlPr defaultSize="0" autoFill="0" autoLine="0" autoPict="0">
                <anchor moveWithCells="1">
                  <from>
                    <xdr:col>1</xdr:col>
                    <xdr:colOff>180975</xdr:colOff>
                    <xdr:row>66</xdr:row>
                    <xdr:rowOff>47625</xdr:rowOff>
                  </from>
                  <to>
                    <xdr:col>5</xdr:col>
                    <xdr:colOff>66675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102" name="Option Button 469">
              <controlPr defaultSize="0" autoFill="0" autoLine="0" autoPict="0">
                <anchor moveWithCells="1">
                  <from>
                    <xdr:col>5</xdr:col>
                    <xdr:colOff>114300</xdr:colOff>
                    <xdr:row>66</xdr:row>
                    <xdr:rowOff>47625</xdr:rowOff>
                  </from>
                  <to>
                    <xdr:col>9</xdr:col>
                    <xdr:colOff>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103" name="Option Button 470">
              <controlPr defaultSize="0" autoFill="0" autoLine="0" autoPict="0">
                <anchor moveWithCells="1">
                  <from>
                    <xdr:col>9</xdr:col>
                    <xdr:colOff>47625</xdr:colOff>
                    <xdr:row>66</xdr:row>
                    <xdr:rowOff>47625</xdr:rowOff>
                  </from>
                  <to>
                    <xdr:col>12</xdr:col>
                    <xdr:colOff>542925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104" name="Option Button 471">
              <controlPr defaultSize="0" autoFill="0" autoLine="0" autoPict="0">
                <anchor moveWithCells="1">
                  <from>
                    <xdr:col>12</xdr:col>
                    <xdr:colOff>590550</xdr:colOff>
                    <xdr:row>66</xdr:row>
                    <xdr:rowOff>47625</xdr:rowOff>
                  </from>
                  <to>
                    <xdr:col>16</xdr:col>
                    <xdr:colOff>476250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105" name="Option Button 472">
              <controlPr defaultSize="0" autoFill="0" autoLine="0" autoPict="0">
                <anchor moveWithCells="1">
                  <from>
                    <xdr:col>16</xdr:col>
                    <xdr:colOff>523875</xdr:colOff>
                    <xdr:row>66</xdr:row>
                    <xdr:rowOff>47625</xdr:rowOff>
                  </from>
                  <to>
                    <xdr:col>20</xdr:col>
                    <xdr:colOff>409575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106" name="Group Box 473">
              <controlPr defaultSize="0" autoFill="0" autoPict="0">
                <anchor moveWithCells="1">
                  <from>
                    <xdr:col>1</xdr:col>
                    <xdr:colOff>9525</xdr:colOff>
                    <xdr:row>68</xdr:row>
                    <xdr:rowOff>161925</xdr:rowOff>
                  </from>
                  <to>
                    <xdr:col>20</xdr:col>
                    <xdr:colOff>590550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107" name="Option Button 474">
              <controlPr defaultSize="0" autoFill="0" autoLine="0" autoPict="0">
                <anchor moveWithCells="1">
                  <from>
                    <xdr:col>1</xdr:col>
                    <xdr:colOff>180975</xdr:colOff>
                    <xdr:row>69</xdr:row>
                    <xdr:rowOff>171450</xdr:rowOff>
                  </from>
                  <to>
                    <xdr:col>5</xdr:col>
                    <xdr:colOff>66675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108" name="Option Button 475">
              <controlPr defaultSize="0" autoFill="0" autoLine="0" autoPict="0">
                <anchor moveWithCells="1">
                  <from>
                    <xdr:col>5</xdr:col>
                    <xdr:colOff>114300</xdr:colOff>
                    <xdr:row>69</xdr:row>
                    <xdr:rowOff>171450</xdr:rowOff>
                  </from>
                  <to>
                    <xdr:col>9</xdr:col>
                    <xdr:colOff>0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109" name="Option Button 476">
              <controlPr defaultSize="0" autoFill="0" autoLine="0" autoPict="0">
                <anchor moveWithCells="1">
                  <from>
                    <xdr:col>9</xdr:col>
                    <xdr:colOff>47625</xdr:colOff>
                    <xdr:row>69</xdr:row>
                    <xdr:rowOff>171450</xdr:rowOff>
                  </from>
                  <to>
                    <xdr:col>12</xdr:col>
                    <xdr:colOff>542925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110" name="Option Button 477">
              <controlPr defaultSize="0" autoFill="0" autoLine="0" autoPict="0">
                <anchor moveWithCells="1">
                  <from>
                    <xdr:col>12</xdr:col>
                    <xdr:colOff>590550</xdr:colOff>
                    <xdr:row>69</xdr:row>
                    <xdr:rowOff>171450</xdr:rowOff>
                  </from>
                  <to>
                    <xdr:col>16</xdr:col>
                    <xdr:colOff>476250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111" name="Option Button 478">
              <controlPr defaultSize="0" autoFill="0" autoLine="0" autoPict="0">
                <anchor moveWithCells="1">
                  <from>
                    <xdr:col>16</xdr:col>
                    <xdr:colOff>523875</xdr:colOff>
                    <xdr:row>69</xdr:row>
                    <xdr:rowOff>171450</xdr:rowOff>
                  </from>
                  <to>
                    <xdr:col>20</xdr:col>
                    <xdr:colOff>409575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112" name="Group Box 479">
              <controlPr defaultSize="0" autoFill="0" autoPict="0">
                <anchor moveWithCells="1">
                  <from>
                    <xdr:col>1</xdr:col>
                    <xdr:colOff>9525</xdr:colOff>
                    <xdr:row>72</xdr:row>
                    <xdr:rowOff>95250</xdr:rowOff>
                  </from>
                  <to>
                    <xdr:col>20</xdr:col>
                    <xdr:colOff>590550</xdr:colOff>
                    <xdr:row>75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113" name="Option Button 480">
              <controlPr defaultSize="0" autoFill="0" autoLine="0" autoPict="0">
                <anchor moveWithCells="1">
                  <from>
                    <xdr:col>1</xdr:col>
                    <xdr:colOff>180975</xdr:colOff>
                    <xdr:row>73</xdr:row>
                    <xdr:rowOff>104775</xdr:rowOff>
                  </from>
                  <to>
                    <xdr:col>5</xdr:col>
                    <xdr:colOff>66675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114" name="Option Button 481">
              <controlPr defaultSize="0" autoFill="0" autoLine="0" autoPict="0">
                <anchor moveWithCells="1">
                  <from>
                    <xdr:col>5</xdr:col>
                    <xdr:colOff>114300</xdr:colOff>
                    <xdr:row>73</xdr:row>
                    <xdr:rowOff>104775</xdr:rowOff>
                  </from>
                  <to>
                    <xdr:col>9</xdr:col>
                    <xdr:colOff>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115" name="Option Button 482">
              <controlPr defaultSize="0" autoFill="0" autoLine="0" autoPict="0">
                <anchor moveWithCells="1">
                  <from>
                    <xdr:col>9</xdr:col>
                    <xdr:colOff>47625</xdr:colOff>
                    <xdr:row>73</xdr:row>
                    <xdr:rowOff>104775</xdr:rowOff>
                  </from>
                  <to>
                    <xdr:col>12</xdr:col>
                    <xdr:colOff>542925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116" name="Option Button 483">
              <controlPr defaultSize="0" autoFill="0" autoLine="0" autoPict="0">
                <anchor moveWithCells="1">
                  <from>
                    <xdr:col>12</xdr:col>
                    <xdr:colOff>590550</xdr:colOff>
                    <xdr:row>73</xdr:row>
                    <xdr:rowOff>104775</xdr:rowOff>
                  </from>
                  <to>
                    <xdr:col>16</xdr:col>
                    <xdr:colOff>476250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117" name="Option Button 484">
              <controlPr defaultSize="0" autoFill="0" autoLine="0" autoPict="0">
                <anchor moveWithCells="1">
                  <from>
                    <xdr:col>16</xdr:col>
                    <xdr:colOff>523875</xdr:colOff>
                    <xdr:row>73</xdr:row>
                    <xdr:rowOff>104775</xdr:rowOff>
                  </from>
                  <to>
                    <xdr:col>20</xdr:col>
                    <xdr:colOff>409575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118" name="Group Box 485">
              <controlPr defaultSize="0" autoFill="0" autoPict="0">
                <anchor moveWithCells="1">
                  <from>
                    <xdr:col>1</xdr:col>
                    <xdr:colOff>9525</xdr:colOff>
                    <xdr:row>76</xdr:row>
                    <xdr:rowOff>28575</xdr:rowOff>
                  </from>
                  <to>
                    <xdr:col>20</xdr:col>
                    <xdr:colOff>590550</xdr:colOff>
                    <xdr:row>79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119" name="Option Button 486">
              <controlPr defaultSize="0" autoFill="0" autoLine="0" autoPict="0">
                <anchor moveWithCells="1">
                  <from>
                    <xdr:col>1</xdr:col>
                    <xdr:colOff>180975</xdr:colOff>
                    <xdr:row>77</xdr:row>
                    <xdr:rowOff>38100</xdr:rowOff>
                  </from>
                  <to>
                    <xdr:col>5</xdr:col>
                    <xdr:colOff>66675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120" name="Option Button 487">
              <controlPr defaultSize="0" autoFill="0" autoLine="0" autoPict="0">
                <anchor moveWithCells="1">
                  <from>
                    <xdr:col>5</xdr:col>
                    <xdr:colOff>114300</xdr:colOff>
                    <xdr:row>77</xdr:row>
                    <xdr:rowOff>38100</xdr:rowOff>
                  </from>
                  <to>
                    <xdr:col>9</xdr:col>
                    <xdr:colOff>0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121" name="Option Button 488">
              <controlPr defaultSize="0" autoFill="0" autoLine="0" autoPict="0">
                <anchor moveWithCells="1">
                  <from>
                    <xdr:col>9</xdr:col>
                    <xdr:colOff>47625</xdr:colOff>
                    <xdr:row>77</xdr:row>
                    <xdr:rowOff>38100</xdr:rowOff>
                  </from>
                  <to>
                    <xdr:col>12</xdr:col>
                    <xdr:colOff>542925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122" name="Option Button 489">
              <controlPr defaultSize="0" autoFill="0" autoLine="0" autoPict="0">
                <anchor moveWithCells="1">
                  <from>
                    <xdr:col>12</xdr:col>
                    <xdr:colOff>590550</xdr:colOff>
                    <xdr:row>77</xdr:row>
                    <xdr:rowOff>38100</xdr:rowOff>
                  </from>
                  <to>
                    <xdr:col>16</xdr:col>
                    <xdr:colOff>476250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123" name="Option Button 490">
              <controlPr defaultSize="0" autoFill="0" autoLine="0" autoPict="0">
                <anchor moveWithCells="1">
                  <from>
                    <xdr:col>16</xdr:col>
                    <xdr:colOff>523875</xdr:colOff>
                    <xdr:row>77</xdr:row>
                    <xdr:rowOff>38100</xdr:rowOff>
                  </from>
                  <to>
                    <xdr:col>20</xdr:col>
                    <xdr:colOff>409575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124" name="Group Box 491">
              <controlPr defaultSize="0" autoFill="0" autoPict="0">
                <anchor moveWithCells="1">
                  <from>
                    <xdr:col>1</xdr:col>
                    <xdr:colOff>9525</xdr:colOff>
                    <xdr:row>79</xdr:row>
                    <xdr:rowOff>152400</xdr:rowOff>
                  </from>
                  <to>
                    <xdr:col>20</xdr:col>
                    <xdr:colOff>590550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125" name="Option Button 492">
              <controlPr defaultSize="0" autoFill="0" autoLine="0" autoPict="0">
                <anchor moveWithCells="1">
                  <from>
                    <xdr:col>1</xdr:col>
                    <xdr:colOff>180975</xdr:colOff>
                    <xdr:row>80</xdr:row>
                    <xdr:rowOff>161925</xdr:rowOff>
                  </from>
                  <to>
                    <xdr:col>5</xdr:col>
                    <xdr:colOff>66675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126" name="Option Button 493">
              <controlPr defaultSize="0" autoFill="0" autoLine="0" autoPict="0">
                <anchor moveWithCells="1">
                  <from>
                    <xdr:col>5</xdr:col>
                    <xdr:colOff>114300</xdr:colOff>
                    <xdr:row>80</xdr:row>
                    <xdr:rowOff>161925</xdr:rowOff>
                  </from>
                  <to>
                    <xdr:col>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127" name="Option Button 494">
              <controlPr defaultSize="0" autoFill="0" autoLine="0" autoPict="0">
                <anchor moveWithCells="1">
                  <from>
                    <xdr:col>9</xdr:col>
                    <xdr:colOff>47625</xdr:colOff>
                    <xdr:row>80</xdr:row>
                    <xdr:rowOff>161925</xdr:rowOff>
                  </from>
                  <to>
                    <xdr:col>12</xdr:col>
                    <xdr:colOff>542925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128" name="Option Button 495">
              <controlPr defaultSize="0" autoFill="0" autoLine="0" autoPict="0">
                <anchor moveWithCells="1">
                  <from>
                    <xdr:col>12</xdr:col>
                    <xdr:colOff>590550</xdr:colOff>
                    <xdr:row>80</xdr:row>
                    <xdr:rowOff>161925</xdr:rowOff>
                  </from>
                  <to>
                    <xdr:col>16</xdr:col>
                    <xdr:colOff>476250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129" name="Option Button 496">
              <controlPr defaultSize="0" autoFill="0" autoLine="0" autoPict="0">
                <anchor moveWithCells="1">
                  <from>
                    <xdr:col>16</xdr:col>
                    <xdr:colOff>523875</xdr:colOff>
                    <xdr:row>80</xdr:row>
                    <xdr:rowOff>161925</xdr:rowOff>
                  </from>
                  <to>
                    <xdr:col>20</xdr:col>
                    <xdr:colOff>409575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130" name="Group Box 497">
              <controlPr defaultSize="0" autoFill="0" autoPict="0">
                <anchor moveWithCells="1">
                  <from>
                    <xdr:col>1</xdr:col>
                    <xdr:colOff>9525</xdr:colOff>
                    <xdr:row>83</xdr:row>
                    <xdr:rowOff>85725</xdr:rowOff>
                  </from>
                  <to>
                    <xdr:col>20</xdr:col>
                    <xdr:colOff>590550</xdr:colOff>
                    <xdr:row>86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31" name="Option Button 498">
              <controlPr defaultSize="0" autoFill="0" autoLine="0" autoPict="0">
                <anchor moveWithCells="1">
                  <from>
                    <xdr:col>1</xdr:col>
                    <xdr:colOff>180975</xdr:colOff>
                    <xdr:row>84</xdr:row>
                    <xdr:rowOff>95250</xdr:rowOff>
                  </from>
                  <to>
                    <xdr:col>5</xdr:col>
                    <xdr:colOff>66675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132" name="Option Button 499">
              <controlPr defaultSize="0" autoFill="0" autoLine="0" autoPict="0">
                <anchor moveWithCells="1">
                  <from>
                    <xdr:col>5</xdr:col>
                    <xdr:colOff>114300</xdr:colOff>
                    <xdr:row>84</xdr:row>
                    <xdr:rowOff>95250</xdr:rowOff>
                  </from>
                  <to>
                    <xdr:col>9</xdr:col>
                    <xdr:colOff>0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133" name="Option Button 500">
              <controlPr defaultSize="0" autoFill="0" autoLine="0" autoPict="0">
                <anchor moveWithCells="1">
                  <from>
                    <xdr:col>9</xdr:col>
                    <xdr:colOff>47625</xdr:colOff>
                    <xdr:row>84</xdr:row>
                    <xdr:rowOff>95250</xdr:rowOff>
                  </from>
                  <to>
                    <xdr:col>12</xdr:col>
                    <xdr:colOff>542925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134" name="Option Button 501">
              <controlPr defaultSize="0" autoFill="0" autoLine="0" autoPict="0">
                <anchor moveWithCells="1">
                  <from>
                    <xdr:col>12</xdr:col>
                    <xdr:colOff>590550</xdr:colOff>
                    <xdr:row>84</xdr:row>
                    <xdr:rowOff>95250</xdr:rowOff>
                  </from>
                  <to>
                    <xdr:col>16</xdr:col>
                    <xdr:colOff>476250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135" name="Option Button 502">
              <controlPr defaultSize="0" autoFill="0" autoLine="0" autoPict="0">
                <anchor moveWithCells="1">
                  <from>
                    <xdr:col>16</xdr:col>
                    <xdr:colOff>523875</xdr:colOff>
                    <xdr:row>84</xdr:row>
                    <xdr:rowOff>95250</xdr:rowOff>
                  </from>
                  <to>
                    <xdr:col>20</xdr:col>
                    <xdr:colOff>409575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136" name="Group Box 503">
              <controlPr defaultSize="0" autoFill="0" autoPict="0">
                <anchor moveWithCells="1">
                  <from>
                    <xdr:col>1</xdr:col>
                    <xdr:colOff>9525</xdr:colOff>
                    <xdr:row>87</xdr:row>
                    <xdr:rowOff>19050</xdr:rowOff>
                  </from>
                  <to>
                    <xdr:col>20</xdr:col>
                    <xdr:colOff>590550</xdr:colOff>
                    <xdr:row>90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137" name="Option Button 504">
              <controlPr defaultSize="0" autoFill="0" autoLine="0" autoPict="0">
                <anchor moveWithCells="1">
                  <from>
                    <xdr:col>1</xdr:col>
                    <xdr:colOff>180975</xdr:colOff>
                    <xdr:row>88</xdr:row>
                    <xdr:rowOff>28575</xdr:rowOff>
                  </from>
                  <to>
                    <xdr:col>5</xdr:col>
                    <xdr:colOff>66675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138" name="Option Button 505">
              <controlPr defaultSize="0" autoFill="0" autoLine="0" autoPict="0">
                <anchor moveWithCells="1">
                  <from>
                    <xdr:col>5</xdr:col>
                    <xdr:colOff>114300</xdr:colOff>
                    <xdr:row>88</xdr:row>
                    <xdr:rowOff>28575</xdr:rowOff>
                  </from>
                  <to>
                    <xdr:col>9</xdr:col>
                    <xdr:colOff>0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139" name="Option Button 506">
              <controlPr defaultSize="0" autoFill="0" autoLine="0" autoPict="0">
                <anchor moveWithCells="1">
                  <from>
                    <xdr:col>9</xdr:col>
                    <xdr:colOff>47625</xdr:colOff>
                    <xdr:row>88</xdr:row>
                    <xdr:rowOff>28575</xdr:rowOff>
                  </from>
                  <to>
                    <xdr:col>12</xdr:col>
                    <xdr:colOff>542925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140" name="Option Button 507">
              <controlPr defaultSize="0" autoFill="0" autoLine="0" autoPict="0">
                <anchor moveWithCells="1">
                  <from>
                    <xdr:col>12</xdr:col>
                    <xdr:colOff>590550</xdr:colOff>
                    <xdr:row>88</xdr:row>
                    <xdr:rowOff>28575</xdr:rowOff>
                  </from>
                  <to>
                    <xdr:col>16</xdr:col>
                    <xdr:colOff>476250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141" name="Option Button 508">
              <controlPr defaultSize="0" autoFill="0" autoLine="0" autoPict="0">
                <anchor moveWithCells="1">
                  <from>
                    <xdr:col>16</xdr:col>
                    <xdr:colOff>523875</xdr:colOff>
                    <xdr:row>88</xdr:row>
                    <xdr:rowOff>28575</xdr:rowOff>
                  </from>
                  <to>
                    <xdr:col>20</xdr:col>
                    <xdr:colOff>409575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142" name="Group Box 509">
              <controlPr defaultSize="0" autoFill="0" autoPict="0">
                <anchor moveWithCells="1">
                  <from>
                    <xdr:col>1</xdr:col>
                    <xdr:colOff>66675</xdr:colOff>
                    <xdr:row>90</xdr:row>
                    <xdr:rowOff>142875</xdr:rowOff>
                  </from>
                  <to>
                    <xdr:col>21</xdr:col>
                    <xdr:colOff>38100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143" name="Option Button 510">
              <controlPr defaultSize="0" autoFill="0" autoLine="0" autoPict="0">
                <anchor moveWithCells="1">
                  <from>
                    <xdr:col>1</xdr:col>
                    <xdr:colOff>180975</xdr:colOff>
                    <xdr:row>91</xdr:row>
                    <xdr:rowOff>152400</xdr:rowOff>
                  </from>
                  <to>
                    <xdr:col>5</xdr:col>
                    <xdr:colOff>66675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144" name="Option Button 511">
              <controlPr defaultSize="0" autoFill="0" autoLine="0" autoPict="0">
                <anchor moveWithCells="1">
                  <from>
                    <xdr:col>5</xdr:col>
                    <xdr:colOff>114300</xdr:colOff>
                    <xdr:row>91</xdr:row>
                    <xdr:rowOff>152400</xdr:rowOff>
                  </from>
                  <to>
                    <xdr:col>9</xdr:col>
                    <xdr:colOff>0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145" name="Option Button 512">
              <controlPr defaultSize="0" autoFill="0" autoLine="0" autoPict="0">
                <anchor moveWithCells="1">
                  <from>
                    <xdr:col>9</xdr:col>
                    <xdr:colOff>47625</xdr:colOff>
                    <xdr:row>91</xdr:row>
                    <xdr:rowOff>152400</xdr:rowOff>
                  </from>
                  <to>
                    <xdr:col>12</xdr:col>
                    <xdr:colOff>542925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146" name="Option Button 513">
              <controlPr defaultSize="0" autoFill="0" autoLine="0" autoPict="0">
                <anchor moveWithCells="1">
                  <from>
                    <xdr:col>12</xdr:col>
                    <xdr:colOff>590550</xdr:colOff>
                    <xdr:row>91</xdr:row>
                    <xdr:rowOff>152400</xdr:rowOff>
                  </from>
                  <to>
                    <xdr:col>16</xdr:col>
                    <xdr:colOff>476250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147" name="Option Button 514">
              <controlPr defaultSize="0" autoFill="0" autoLine="0" autoPict="0">
                <anchor moveWithCells="1">
                  <from>
                    <xdr:col>16</xdr:col>
                    <xdr:colOff>523875</xdr:colOff>
                    <xdr:row>91</xdr:row>
                    <xdr:rowOff>152400</xdr:rowOff>
                  </from>
                  <to>
                    <xdr:col>20</xdr:col>
                    <xdr:colOff>409575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48" name="Group Box 515">
              <controlPr defaultSize="0" autoFill="0" autoPict="0">
                <anchor moveWithCells="1">
                  <from>
                    <xdr:col>1</xdr:col>
                    <xdr:colOff>9525</xdr:colOff>
                    <xdr:row>94</xdr:row>
                    <xdr:rowOff>76200</xdr:rowOff>
                  </from>
                  <to>
                    <xdr:col>20</xdr:col>
                    <xdr:colOff>590550</xdr:colOff>
                    <xdr:row>97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49" name="Option Button 516">
              <controlPr defaultSize="0" autoFill="0" autoLine="0" autoPict="0">
                <anchor moveWithCells="1">
                  <from>
                    <xdr:col>1</xdr:col>
                    <xdr:colOff>180975</xdr:colOff>
                    <xdr:row>95</xdr:row>
                    <xdr:rowOff>85725</xdr:rowOff>
                  </from>
                  <to>
                    <xdr:col>5</xdr:col>
                    <xdr:colOff>66675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50" name="Option Button 517">
              <controlPr defaultSize="0" autoFill="0" autoLine="0" autoPict="0">
                <anchor moveWithCells="1">
                  <from>
                    <xdr:col>5</xdr:col>
                    <xdr:colOff>114300</xdr:colOff>
                    <xdr:row>95</xdr:row>
                    <xdr:rowOff>85725</xdr:rowOff>
                  </from>
                  <to>
                    <xdr:col>9</xdr:col>
                    <xdr:colOff>0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51" name="Option Button 518">
              <controlPr defaultSize="0" autoFill="0" autoLine="0" autoPict="0">
                <anchor moveWithCells="1">
                  <from>
                    <xdr:col>9</xdr:col>
                    <xdr:colOff>47625</xdr:colOff>
                    <xdr:row>95</xdr:row>
                    <xdr:rowOff>85725</xdr:rowOff>
                  </from>
                  <to>
                    <xdr:col>12</xdr:col>
                    <xdr:colOff>542925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52" name="Option Button 519">
              <controlPr defaultSize="0" autoFill="0" autoLine="0" autoPict="0">
                <anchor moveWithCells="1">
                  <from>
                    <xdr:col>12</xdr:col>
                    <xdr:colOff>590550</xdr:colOff>
                    <xdr:row>95</xdr:row>
                    <xdr:rowOff>85725</xdr:rowOff>
                  </from>
                  <to>
                    <xdr:col>16</xdr:col>
                    <xdr:colOff>476250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53" name="Option Button 520">
              <controlPr defaultSize="0" autoFill="0" autoLine="0" autoPict="0">
                <anchor moveWithCells="1">
                  <from>
                    <xdr:col>16</xdr:col>
                    <xdr:colOff>523875</xdr:colOff>
                    <xdr:row>95</xdr:row>
                    <xdr:rowOff>85725</xdr:rowOff>
                  </from>
                  <to>
                    <xdr:col>20</xdr:col>
                    <xdr:colOff>409575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54" name="Group Box 521">
              <controlPr defaultSize="0" autoFill="0" autoPict="0">
                <anchor moveWithCells="1">
                  <from>
                    <xdr:col>1</xdr:col>
                    <xdr:colOff>9525</xdr:colOff>
                    <xdr:row>98</xdr:row>
                    <xdr:rowOff>9525</xdr:rowOff>
                  </from>
                  <to>
                    <xdr:col>20</xdr:col>
                    <xdr:colOff>590550</xdr:colOff>
                    <xdr:row>101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55" name="Option Button 522">
              <controlPr defaultSize="0" autoFill="0" autoLine="0" autoPict="0">
                <anchor moveWithCells="1">
                  <from>
                    <xdr:col>1</xdr:col>
                    <xdr:colOff>180975</xdr:colOff>
                    <xdr:row>99</xdr:row>
                    <xdr:rowOff>19050</xdr:rowOff>
                  </from>
                  <to>
                    <xdr:col>5</xdr:col>
                    <xdr:colOff>66675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56" name="Option Button 523">
              <controlPr defaultSize="0" autoFill="0" autoLine="0" autoPict="0">
                <anchor moveWithCells="1">
                  <from>
                    <xdr:col>5</xdr:col>
                    <xdr:colOff>114300</xdr:colOff>
                    <xdr:row>99</xdr:row>
                    <xdr:rowOff>19050</xdr:rowOff>
                  </from>
                  <to>
                    <xdr:col>9</xdr:col>
                    <xdr:colOff>0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57" name="Option Button 524">
              <controlPr defaultSize="0" autoFill="0" autoLine="0" autoPict="0">
                <anchor moveWithCells="1">
                  <from>
                    <xdr:col>9</xdr:col>
                    <xdr:colOff>47625</xdr:colOff>
                    <xdr:row>99</xdr:row>
                    <xdr:rowOff>19050</xdr:rowOff>
                  </from>
                  <to>
                    <xdr:col>12</xdr:col>
                    <xdr:colOff>542925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158" name="Option Button 525">
              <controlPr defaultSize="0" autoFill="0" autoLine="0" autoPict="0">
                <anchor moveWithCells="1">
                  <from>
                    <xdr:col>12</xdr:col>
                    <xdr:colOff>590550</xdr:colOff>
                    <xdr:row>99</xdr:row>
                    <xdr:rowOff>19050</xdr:rowOff>
                  </from>
                  <to>
                    <xdr:col>16</xdr:col>
                    <xdr:colOff>476250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159" name="Option Button 526">
              <controlPr defaultSize="0" autoFill="0" autoLine="0" autoPict="0">
                <anchor moveWithCells="1">
                  <from>
                    <xdr:col>16</xdr:col>
                    <xdr:colOff>523875</xdr:colOff>
                    <xdr:row>99</xdr:row>
                    <xdr:rowOff>19050</xdr:rowOff>
                  </from>
                  <to>
                    <xdr:col>20</xdr:col>
                    <xdr:colOff>409575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160" name="Group Box 527">
              <controlPr defaultSize="0" autoFill="0" autoPict="0">
                <anchor moveWithCells="1">
                  <from>
                    <xdr:col>1</xdr:col>
                    <xdr:colOff>9525</xdr:colOff>
                    <xdr:row>101</xdr:row>
                    <xdr:rowOff>133350</xdr:rowOff>
                  </from>
                  <to>
                    <xdr:col>20</xdr:col>
                    <xdr:colOff>590550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161" name="Option Button 528">
              <controlPr defaultSize="0" autoFill="0" autoLine="0" autoPict="0">
                <anchor moveWithCells="1">
                  <from>
                    <xdr:col>1</xdr:col>
                    <xdr:colOff>180975</xdr:colOff>
                    <xdr:row>102</xdr:row>
                    <xdr:rowOff>142875</xdr:rowOff>
                  </from>
                  <to>
                    <xdr:col>5</xdr:col>
                    <xdr:colOff>66675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162" name="Option Button 529">
              <controlPr defaultSize="0" autoFill="0" autoLine="0" autoPict="0">
                <anchor moveWithCells="1">
                  <from>
                    <xdr:col>5</xdr:col>
                    <xdr:colOff>114300</xdr:colOff>
                    <xdr:row>102</xdr:row>
                    <xdr:rowOff>142875</xdr:rowOff>
                  </from>
                  <to>
                    <xdr:col>9</xdr:col>
                    <xdr:colOff>0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163" name="Option Button 530">
              <controlPr defaultSize="0" autoFill="0" autoLine="0" autoPict="0">
                <anchor moveWithCells="1">
                  <from>
                    <xdr:col>9</xdr:col>
                    <xdr:colOff>47625</xdr:colOff>
                    <xdr:row>102</xdr:row>
                    <xdr:rowOff>142875</xdr:rowOff>
                  </from>
                  <to>
                    <xdr:col>12</xdr:col>
                    <xdr:colOff>542925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164" name="Option Button 531">
              <controlPr defaultSize="0" autoFill="0" autoLine="0" autoPict="0">
                <anchor moveWithCells="1">
                  <from>
                    <xdr:col>12</xdr:col>
                    <xdr:colOff>590550</xdr:colOff>
                    <xdr:row>102</xdr:row>
                    <xdr:rowOff>142875</xdr:rowOff>
                  </from>
                  <to>
                    <xdr:col>16</xdr:col>
                    <xdr:colOff>476250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165" name="Option Button 532">
              <controlPr defaultSize="0" autoFill="0" autoLine="0" autoPict="0">
                <anchor moveWithCells="1">
                  <from>
                    <xdr:col>16</xdr:col>
                    <xdr:colOff>523875</xdr:colOff>
                    <xdr:row>102</xdr:row>
                    <xdr:rowOff>142875</xdr:rowOff>
                  </from>
                  <to>
                    <xdr:col>20</xdr:col>
                    <xdr:colOff>409575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166" name="Group Box 533">
              <controlPr defaultSize="0" autoFill="0" autoPict="0">
                <anchor moveWithCells="1">
                  <from>
                    <xdr:col>1</xdr:col>
                    <xdr:colOff>9525</xdr:colOff>
                    <xdr:row>105</xdr:row>
                    <xdr:rowOff>66675</xdr:rowOff>
                  </from>
                  <to>
                    <xdr:col>20</xdr:col>
                    <xdr:colOff>590550</xdr:colOff>
                    <xdr:row>108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167" name="Option Button 534">
              <controlPr defaultSize="0" autoFill="0" autoLine="0" autoPict="0">
                <anchor moveWithCells="1">
                  <from>
                    <xdr:col>1</xdr:col>
                    <xdr:colOff>180975</xdr:colOff>
                    <xdr:row>106</xdr:row>
                    <xdr:rowOff>76200</xdr:rowOff>
                  </from>
                  <to>
                    <xdr:col>5</xdr:col>
                    <xdr:colOff>66675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168" name="Option Button 535">
              <controlPr defaultSize="0" autoFill="0" autoLine="0" autoPict="0">
                <anchor moveWithCells="1">
                  <from>
                    <xdr:col>5</xdr:col>
                    <xdr:colOff>114300</xdr:colOff>
                    <xdr:row>106</xdr:row>
                    <xdr:rowOff>76200</xdr:rowOff>
                  </from>
                  <to>
                    <xdr:col>9</xdr:col>
                    <xdr:colOff>0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169" name="Option Button 536">
              <controlPr defaultSize="0" autoFill="0" autoLine="0" autoPict="0">
                <anchor moveWithCells="1">
                  <from>
                    <xdr:col>9</xdr:col>
                    <xdr:colOff>47625</xdr:colOff>
                    <xdr:row>106</xdr:row>
                    <xdr:rowOff>76200</xdr:rowOff>
                  </from>
                  <to>
                    <xdr:col>12</xdr:col>
                    <xdr:colOff>542925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170" name="Option Button 537">
              <controlPr defaultSize="0" autoFill="0" autoLine="0" autoPict="0">
                <anchor moveWithCells="1">
                  <from>
                    <xdr:col>12</xdr:col>
                    <xdr:colOff>590550</xdr:colOff>
                    <xdr:row>106</xdr:row>
                    <xdr:rowOff>76200</xdr:rowOff>
                  </from>
                  <to>
                    <xdr:col>16</xdr:col>
                    <xdr:colOff>476250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171" name="Option Button 538">
              <controlPr defaultSize="0" autoFill="0" autoLine="0" autoPict="0">
                <anchor moveWithCells="1">
                  <from>
                    <xdr:col>16</xdr:col>
                    <xdr:colOff>523875</xdr:colOff>
                    <xdr:row>106</xdr:row>
                    <xdr:rowOff>76200</xdr:rowOff>
                  </from>
                  <to>
                    <xdr:col>20</xdr:col>
                    <xdr:colOff>409575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172" name="Group Box 544">
              <controlPr defaultSize="0" autoFill="0" autoPict="0">
                <anchor moveWithCells="1">
                  <from>
                    <xdr:col>1</xdr:col>
                    <xdr:colOff>9525</xdr:colOff>
                    <xdr:row>109</xdr:row>
                    <xdr:rowOff>0</xdr:rowOff>
                  </from>
                  <to>
                    <xdr:col>20</xdr:col>
                    <xdr:colOff>590550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173" name="Option Button 545">
              <controlPr defaultSize="0" autoFill="0" autoLine="0" autoPict="0">
                <anchor moveWithCells="1">
                  <from>
                    <xdr:col>1</xdr:col>
                    <xdr:colOff>180975</xdr:colOff>
                    <xdr:row>110</xdr:row>
                    <xdr:rowOff>9525</xdr:rowOff>
                  </from>
                  <to>
                    <xdr:col>5</xdr:col>
                    <xdr:colOff>66675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174" name="Option Button 546">
              <controlPr defaultSize="0" autoFill="0" autoLine="0" autoPict="0">
                <anchor moveWithCells="1">
                  <from>
                    <xdr:col>5</xdr:col>
                    <xdr:colOff>114300</xdr:colOff>
                    <xdr:row>110</xdr:row>
                    <xdr:rowOff>9525</xdr:rowOff>
                  </from>
                  <to>
                    <xdr:col>9</xdr:col>
                    <xdr:colOff>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175" name="Option Button 547">
              <controlPr defaultSize="0" autoFill="0" autoLine="0" autoPict="0">
                <anchor moveWithCells="1">
                  <from>
                    <xdr:col>9</xdr:col>
                    <xdr:colOff>47625</xdr:colOff>
                    <xdr:row>110</xdr:row>
                    <xdr:rowOff>9525</xdr:rowOff>
                  </from>
                  <to>
                    <xdr:col>12</xdr:col>
                    <xdr:colOff>542925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176" name="Option Button 548">
              <controlPr defaultSize="0" autoFill="0" autoLine="0" autoPict="0">
                <anchor moveWithCells="1">
                  <from>
                    <xdr:col>12</xdr:col>
                    <xdr:colOff>590550</xdr:colOff>
                    <xdr:row>110</xdr:row>
                    <xdr:rowOff>9525</xdr:rowOff>
                  </from>
                  <to>
                    <xdr:col>16</xdr:col>
                    <xdr:colOff>476250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177" name="Option Button 549">
              <controlPr defaultSize="0" autoFill="0" autoLine="0" autoPict="0">
                <anchor moveWithCells="1">
                  <from>
                    <xdr:col>16</xdr:col>
                    <xdr:colOff>523875</xdr:colOff>
                    <xdr:row>110</xdr:row>
                    <xdr:rowOff>9525</xdr:rowOff>
                  </from>
                  <to>
                    <xdr:col>20</xdr:col>
                    <xdr:colOff>409575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178" name="Group Box 550">
              <controlPr defaultSize="0" autoFill="0" autoPict="0">
                <anchor moveWithCells="1">
                  <from>
                    <xdr:col>1</xdr:col>
                    <xdr:colOff>9525</xdr:colOff>
                    <xdr:row>112</xdr:row>
                    <xdr:rowOff>123825</xdr:rowOff>
                  </from>
                  <to>
                    <xdr:col>20</xdr:col>
                    <xdr:colOff>590550</xdr:colOff>
                    <xdr:row>115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179" name="Option Button 551">
              <controlPr defaultSize="0" autoFill="0" autoLine="0" autoPict="0">
                <anchor moveWithCells="1">
                  <from>
                    <xdr:col>1</xdr:col>
                    <xdr:colOff>180975</xdr:colOff>
                    <xdr:row>113</xdr:row>
                    <xdr:rowOff>133350</xdr:rowOff>
                  </from>
                  <to>
                    <xdr:col>5</xdr:col>
                    <xdr:colOff>66675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180" name="Option Button 552">
              <controlPr defaultSize="0" autoFill="0" autoLine="0" autoPict="0">
                <anchor moveWithCells="1">
                  <from>
                    <xdr:col>5</xdr:col>
                    <xdr:colOff>114300</xdr:colOff>
                    <xdr:row>113</xdr:row>
                    <xdr:rowOff>133350</xdr:rowOff>
                  </from>
                  <to>
                    <xdr:col>9</xdr:col>
                    <xdr:colOff>0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181" name="Option Button 553">
              <controlPr defaultSize="0" autoFill="0" autoLine="0" autoPict="0">
                <anchor moveWithCells="1">
                  <from>
                    <xdr:col>9</xdr:col>
                    <xdr:colOff>47625</xdr:colOff>
                    <xdr:row>113</xdr:row>
                    <xdr:rowOff>133350</xdr:rowOff>
                  </from>
                  <to>
                    <xdr:col>12</xdr:col>
                    <xdr:colOff>542925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182" name="Option Button 554">
              <controlPr defaultSize="0" autoFill="0" autoLine="0" autoPict="0">
                <anchor moveWithCells="1">
                  <from>
                    <xdr:col>12</xdr:col>
                    <xdr:colOff>590550</xdr:colOff>
                    <xdr:row>113</xdr:row>
                    <xdr:rowOff>133350</xdr:rowOff>
                  </from>
                  <to>
                    <xdr:col>16</xdr:col>
                    <xdr:colOff>476250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183" name="Option Button 555">
              <controlPr defaultSize="0" autoFill="0" autoLine="0" autoPict="0">
                <anchor moveWithCells="1">
                  <from>
                    <xdr:col>16</xdr:col>
                    <xdr:colOff>523875</xdr:colOff>
                    <xdr:row>113</xdr:row>
                    <xdr:rowOff>133350</xdr:rowOff>
                  </from>
                  <to>
                    <xdr:col>20</xdr:col>
                    <xdr:colOff>409575</xdr:colOff>
                    <xdr:row>114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>
    <tabColor theme="9" tint="0.59999389629810485"/>
  </sheetPr>
  <dimension ref="B1:U6"/>
  <sheetViews>
    <sheetView topLeftCell="A101" workbookViewId="0">
      <selection activeCell="P126" sqref="P126"/>
    </sheetView>
  </sheetViews>
  <sheetFormatPr defaultRowHeight="15" customHeight="1" x14ac:dyDescent="0.25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 x14ac:dyDescent="0.25"/>
    <row r="2" spans="2:21" ht="22.5" customHeight="1" x14ac:dyDescent="0.25"/>
    <row r="3" spans="2:21" ht="61.5" customHeight="1" x14ac:dyDescent="0.25">
      <c r="B3" s="106" t="s">
        <v>258</v>
      </c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</row>
    <row r="5" spans="2:21" ht="30" customHeight="1" x14ac:dyDescent="0.25">
      <c r="B5" s="105" t="s">
        <v>48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</row>
    <row r="6" spans="2:21" ht="30" customHeight="1" x14ac:dyDescent="0.25"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</row>
  </sheetData>
  <mergeCells count="2">
    <mergeCell ref="B3:U3"/>
    <mergeCell ref="B5:U6"/>
  </mergeCells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Group Box 1">
              <controlPr defaultSize="0" autoFill="0" autoPict="0">
                <anchor moveWithCells="1">
                  <from>
                    <xdr:col>1</xdr:col>
                    <xdr:colOff>9525</xdr:colOff>
                    <xdr:row>6</xdr:row>
                    <xdr:rowOff>180975</xdr:rowOff>
                  </from>
                  <to>
                    <xdr:col>20</xdr:col>
                    <xdr:colOff>590550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Option Button 2">
              <controlPr defaultSize="0" autoFill="0" autoLine="0" autoPict="0">
                <anchor moveWithCells="1">
                  <from>
                    <xdr:col>1</xdr:col>
                    <xdr:colOff>180975</xdr:colOff>
                    <xdr:row>8</xdr:row>
                    <xdr:rowOff>0</xdr:rowOff>
                  </from>
                  <to>
                    <xdr:col>5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Option Button 3">
              <controlPr defaultSize="0" autoFill="0" autoLine="0" autoPict="0">
                <anchor moveWithCells="1">
                  <from>
                    <xdr:col>5</xdr:col>
                    <xdr:colOff>114300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Option Button 4">
              <controlPr defaultSize="0" autoFill="0" autoLine="0" autoPict="0">
                <anchor moveWithCells="1">
                  <from>
                    <xdr:col>9</xdr:col>
                    <xdr:colOff>47625</xdr:colOff>
                    <xdr:row>8</xdr:row>
                    <xdr:rowOff>0</xdr:rowOff>
                  </from>
                  <to>
                    <xdr:col>12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Option Button 5">
              <controlPr defaultSize="0" autoFill="0" autoLine="0" autoPict="0">
                <anchor moveWithCells="1">
                  <from>
                    <xdr:col>12</xdr:col>
                    <xdr:colOff>590550</xdr:colOff>
                    <xdr:row>8</xdr:row>
                    <xdr:rowOff>0</xdr:rowOff>
                  </from>
                  <to>
                    <xdr:col>16</xdr:col>
                    <xdr:colOff>476250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Option Button 6">
              <controlPr defaultSize="0" autoFill="0" autoLine="0" autoPict="0">
                <anchor moveWithCells="1">
                  <from>
                    <xdr:col>16</xdr:col>
                    <xdr:colOff>523875</xdr:colOff>
                    <xdr:row>8</xdr:row>
                    <xdr:rowOff>0</xdr:rowOff>
                  </from>
                  <to>
                    <xdr:col>20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Group Box 7">
              <controlPr defaultSize="0" autoFill="0" autoPict="0">
                <anchor moveWithCells="1">
                  <from>
                    <xdr:col>1</xdr:col>
                    <xdr:colOff>9525</xdr:colOff>
                    <xdr:row>10</xdr:row>
                    <xdr:rowOff>114300</xdr:rowOff>
                  </from>
                  <to>
                    <xdr:col>20</xdr:col>
                    <xdr:colOff>590550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Option Button 8">
              <controlPr defaultSize="0" autoFill="0" autoLine="0" autoPict="0">
                <anchor moveWithCells="1">
                  <from>
                    <xdr:col>1</xdr:col>
                    <xdr:colOff>180975</xdr:colOff>
                    <xdr:row>11</xdr:row>
                    <xdr:rowOff>123825</xdr:rowOff>
                  </from>
                  <to>
                    <xdr:col>5</xdr:col>
                    <xdr:colOff>66675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Option Button 9">
              <controlPr defaultSize="0" autoFill="0" autoLine="0" autoPict="0">
                <anchor moveWithCells="1">
                  <from>
                    <xdr:col>5</xdr:col>
                    <xdr:colOff>114300</xdr:colOff>
                    <xdr:row>11</xdr:row>
                    <xdr:rowOff>123825</xdr:rowOff>
                  </from>
                  <to>
                    <xdr:col>9</xdr:col>
                    <xdr:colOff>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Option Button 10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123825</xdr:rowOff>
                  </from>
                  <to>
                    <xdr:col>12</xdr:col>
                    <xdr:colOff>542925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Option Button 11">
              <controlPr defaultSize="0" autoFill="0" autoLine="0" autoPict="0">
                <anchor moveWithCells="1">
                  <from>
                    <xdr:col>12</xdr:col>
                    <xdr:colOff>590550</xdr:colOff>
                    <xdr:row>11</xdr:row>
                    <xdr:rowOff>123825</xdr:rowOff>
                  </from>
                  <to>
                    <xdr:col>16</xdr:col>
                    <xdr:colOff>476250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Option Button 12">
              <controlPr defaultSize="0" autoFill="0" autoLine="0" autoPict="0">
                <anchor moveWithCells="1">
                  <from>
                    <xdr:col>16</xdr:col>
                    <xdr:colOff>523875</xdr:colOff>
                    <xdr:row>11</xdr:row>
                    <xdr:rowOff>123825</xdr:rowOff>
                  </from>
                  <to>
                    <xdr:col>20</xdr:col>
                    <xdr:colOff>409575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Group Box 13">
              <controlPr defaultSize="0" autoFill="0" autoPict="0">
                <anchor moveWithCells="1">
                  <from>
                    <xdr:col>1</xdr:col>
                    <xdr:colOff>9525</xdr:colOff>
                    <xdr:row>14</xdr:row>
                    <xdr:rowOff>47625</xdr:rowOff>
                  </from>
                  <to>
                    <xdr:col>20</xdr:col>
                    <xdr:colOff>590550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Option Button 14">
              <controlPr defaultSize="0" autoFill="0" autoLine="0" autoPict="0">
                <anchor moveWithCells="1">
                  <from>
                    <xdr:col>1</xdr:col>
                    <xdr:colOff>180975</xdr:colOff>
                    <xdr:row>15</xdr:row>
                    <xdr:rowOff>57150</xdr:rowOff>
                  </from>
                  <to>
                    <xdr:col>5</xdr:col>
                    <xdr:colOff>66675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Option Button 15">
              <controlPr defaultSize="0" autoFill="0" autoLine="0" autoPict="0">
                <anchor moveWithCells="1">
                  <from>
                    <xdr:col>5</xdr:col>
                    <xdr:colOff>114300</xdr:colOff>
                    <xdr:row>15</xdr:row>
                    <xdr:rowOff>57150</xdr:rowOff>
                  </from>
                  <to>
                    <xdr:col>9</xdr:col>
                    <xdr:colOff>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Option Button 16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57150</xdr:rowOff>
                  </from>
                  <to>
                    <xdr:col>12</xdr:col>
                    <xdr:colOff>542925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Option Button 17">
              <controlPr defaultSize="0" autoFill="0" autoLine="0" autoPict="0">
                <anchor moveWithCells="1">
                  <from>
                    <xdr:col>12</xdr:col>
                    <xdr:colOff>590550</xdr:colOff>
                    <xdr:row>15</xdr:row>
                    <xdr:rowOff>57150</xdr:rowOff>
                  </from>
                  <to>
                    <xdr:col>16</xdr:col>
                    <xdr:colOff>476250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Option Button 18">
              <controlPr defaultSize="0" autoFill="0" autoLine="0" autoPict="0">
                <anchor moveWithCells="1">
                  <from>
                    <xdr:col>16</xdr:col>
                    <xdr:colOff>523875</xdr:colOff>
                    <xdr:row>15</xdr:row>
                    <xdr:rowOff>57150</xdr:rowOff>
                  </from>
                  <to>
                    <xdr:col>20</xdr:col>
                    <xdr:colOff>409575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22" name="Group Box 19">
              <controlPr defaultSize="0" autoFill="0" autoPict="0">
                <anchor moveWithCells="1">
                  <from>
                    <xdr:col>1</xdr:col>
                    <xdr:colOff>9525</xdr:colOff>
                    <xdr:row>17</xdr:row>
                    <xdr:rowOff>171450</xdr:rowOff>
                  </from>
                  <to>
                    <xdr:col>20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23" name="Option Button 20">
              <controlPr defaultSize="0" autoFill="0" autoLine="0" autoPict="0">
                <anchor moveWithCells="1">
                  <from>
                    <xdr:col>1</xdr:col>
                    <xdr:colOff>180975</xdr:colOff>
                    <xdr:row>18</xdr:row>
                    <xdr:rowOff>180975</xdr:rowOff>
                  </from>
                  <to>
                    <xdr:col>5</xdr:col>
                    <xdr:colOff>66675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24" name="Option Button 21">
              <controlPr defaultSize="0" autoFill="0" autoLine="0" autoPict="0">
                <anchor moveWithCells="1">
                  <from>
                    <xdr:col>5</xdr:col>
                    <xdr:colOff>114300</xdr:colOff>
                    <xdr:row>18</xdr:row>
                    <xdr:rowOff>180975</xdr:rowOff>
                  </from>
                  <to>
                    <xdr:col>9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25" name="Option Button 22">
              <controlPr defaultSize="0" autoFill="0" autoLine="0" autoPict="0">
                <anchor moveWithCells="1">
                  <from>
                    <xdr:col>9</xdr:col>
                    <xdr:colOff>47625</xdr:colOff>
                    <xdr:row>18</xdr:row>
                    <xdr:rowOff>180975</xdr:rowOff>
                  </from>
                  <to>
                    <xdr:col>12</xdr:col>
                    <xdr:colOff>542925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26" name="Option Button 23">
              <controlPr defaultSize="0" autoFill="0" autoLine="0" autoPict="0">
                <anchor moveWithCells="1">
                  <from>
                    <xdr:col>12</xdr:col>
                    <xdr:colOff>590550</xdr:colOff>
                    <xdr:row>18</xdr:row>
                    <xdr:rowOff>180975</xdr:rowOff>
                  </from>
                  <to>
                    <xdr:col>16</xdr:col>
                    <xdr:colOff>476250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27" name="Option Button 24">
              <controlPr defaultSize="0" autoFill="0" autoLine="0" autoPict="0">
                <anchor moveWithCells="1">
                  <from>
                    <xdr:col>16</xdr:col>
                    <xdr:colOff>523875</xdr:colOff>
                    <xdr:row>18</xdr:row>
                    <xdr:rowOff>180975</xdr:rowOff>
                  </from>
                  <to>
                    <xdr:col>20</xdr:col>
                    <xdr:colOff>409575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28" name="Group Box 25">
              <controlPr defaultSize="0" autoFill="0" autoPict="0">
                <anchor moveWithCells="1">
                  <from>
                    <xdr:col>1</xdr:col>
                    <xdr:colOff>9525</xdr:colOff>
                    <xdr:row>21</xdr:row>
                    <xdr:rowOff>104775</xdr:rowOff>
                  </from>
                  <to>
                    <xdr:col>20</xdr:col>
                    <xdr:colOff>590550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29" name="Option Button 26">
              <controlPr defaultSize="0" autoFill="0" autoLine="0" autoPict="0">
                <anchor moveWithCells="1">
                  <from>
                    <xdr:col>1</xdr:col>
                    <xdr:colOff>180975</xdr:colOff>
                    <xdr:row>22</xdr:row>
                    <xdr:rowOff>114300</xdr:rowOff>
                  </from>
                  <to>
                    <xdr:col>5</xdr:col>
                    <xdr:colOff>66675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30" name="Option Button 27">
              <controlPr defaultSize="0" autoFill="0" autoLine="0" autoPict="0">
                <anchor moveWithCells="1">
                  <from>
                    <xdr:col>5</xdr:col>
                    <xdr:colOff>114300</xdr:colOff>
                    <xdr:row>22</xdr:row>
                    <xdr:rowOff>114300</xdr:rowOff>
                  </from>
                  <to>
                    <xdr:col>9</xdr:col>
                    <xdr:colOff>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31" name="Option Button 28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114300</xdr:rowOff>
                  </from>
                  <to>
                    <xdr:col>12</xdr:col>
                    <xdr:colOff>542925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32" name="Option Button 29">
              <controlPr defaultSize="0" autoFill="0" autoLine="0" autoPict="0">
                <anchor moveWithCells="1">
                  <from>
                    <xdr:col>12</xdr:col>
                    <xdr:colOff>590550</xdr:colOff>
                    <xdr:row>22</xdr:row>
                    <xdr:rowOff>114300</xdr:rowOff>
                  </from>
                  <to>
                    <xdr:col>16</xdr:col>
                    <xdr:colOff>476250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33" name="Option Button 30">
              <controlPr defaultSize="0" autoFill="0" autoLine="0" autoPict="0">
                <anchor moveWithCells="1">
                  <from>
                    <xdr:col>16</xdr:col>
                    <xdr:colOff>523875</xdr:colOff>
                    <xdr:row>22</xdr:row>
                    <xdr:rowOff>114300</xdr:rowOff>
                  </from>
                  <to>
                    <xdr:col>20</xdr:col>
                    <xdr:colOff>409575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34" name="Group Box 31">
              <controlPr defaultSize="0" autoFill="0" autoPict="0">
                <anchor moveWithCells="1">
                  <from>
                    <xdr:col>1</xdr:col>
                    <xdr:colOff>9525</xdr:colOff>
                    <xdr:row>25</xdr:row>
                    <xdr:rowOff>38100</xdr:rowOff>
                  </from>
                  <to>
                    <xdr:col>20</xdr:col>
                    <xdr:colOff>590550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35" name="Option Button 32">
              <controlPr defaultSize="0" autoFill="0" autoLine="0" autoPict="0">
                <anchor moveWithCells="1">
                  <from>
                    <xdr:col>1</xdr:col>
                    <xdr:colOff>180975</xdr:colOff>
                    <xdr:row>26</xdr:row>
                    <xdr:rowOff>47625</xdr:rowOff>
                  </from>
                  <to>
                    <xdr:col>5</xdr:col>
                    <xdr:colOff>66675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36" name="Option Button 33">
              <controlPr defaultSize="0" autoFill="0" autoLine="0" autoPict="0">
                <anchor moveWithCells="1">
                  <from>
                    <xdr:col>5</xdr:col>
                    <xdr:colOff>114300</xdr:colOff>
                    <xdr:row>26</xdr:row>
                    <xdr:rowOff>47625</xdr:rowOff>
                  </from>
                  <to>
                    <xdr:col>9</xdr:col>
                    <xdr:colOff>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37" name="Option Button 34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47625</xdr:rowOff>
                  </from>
                  <to>
                    <xdr:col>12</xdr:col>
                    <xdr:colOff>542925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38" name="Option Button 35">
              <controlPr defaultSize="0" autoFill="0" autoLine="0" autoPict="0">
                <anchor moveWithCells="1">
                  <from>
                    <xdr:col>12</xdr:col>
                    <xdr:colOff>590550</xdr:colOff>
                    <xdr:row>26</xdr:row>
                    <xdr:rowOff>47625</xdr:rowOff>
                  </from>
                  <to>
                    <xdr:col>16</xdr:col>
                    <xdr:colOff>476250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39" name="Option Button 36">
              <controlPr defaultSize="0" autoFill="0" autoLine="0" autoPict="0">
                <anchor moveWithCells="1">
                  <from>
                    <xdr:col>16</xdr:col>
                    <xdr:colOff>523875</xdr:colOff>
                    <xdr:row>26</xdr:row>
                    <xdr:rowOff>47625</xdr:rowOff>
                  </from>
                  <to>
                    <xdr:col>20</xdr:col>
                    <xdr:colOff>409575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40" name="Group Box 37">
              <controlPr defaultSize="0" autoFill="0" autoPict="0">
                <anchor moveWithCells="1">
                  <from>
                    <xdr:col>1</xdr:col>
                    <xdr:colOff>9525</xdr:colOff>
                    <xdr:row>28</xdr:row>
                    <xdr:rowOff>133350</xdr:rowOff>
                  </from>
                  <to>
                    <xdr:col>20</xdr:col>
                    <xdr:colOff>590550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41" name="Option Button 38">
              <controlPr defaultSize="0" autoFill="0" autoLine="0" autoPict="0">
                <anchor moveWithCells="1">
                  <from>
                    <xdr:col>1</xdr:col>
                    <xdr:colOff>180975</xdr:colOff>
                    <xdr:row>29</xdr:row>
                    <xdr:rowOff>142875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42" name="Option Button 39">
              <controlPr defaultSize="0" autoFill="0" autoLine="0" autoPict="0">
                <anchor moveWithCells="1">
                  <from>
                    <xdr:col>5</xdr:col>
                    <xdr:colOff>114300</xdr:colOff>
                    <xdr:row>29</xdr:row>
                    <xdr:rowOff>142875</xdr:rowOff>
                  </from>
                  <to>
                    <xdr:col>9</xdr:col>
                    <xdr:colOff>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43" name="Option Button 40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142875</xdr:rowOff>
                  </from>
                  <to>
                    <xdr:col>12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44" name="Option Button 41">
              <controlPr defaultSize="0" autoFill="0" autoLine="0" autoPict="0">
                <anchor moveWithCells="1">
                  <from>
                    <xdr:col>12</xdr:col>
                    <xdr:colOff>590550</xdr:colOff>
                    <xdr:row>29</xdr:row>
                    <xdr:rowOff>142875</xdr:rowOff>
                  </from>
                  <to>
                    <xdr:col>16</xdr:col>
                    <xdr:colOff>476250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45" name="Option Button 42">
              <controlPr defaultSize="0" autoFill="0" autoLine="0" autoPict="0">
                <anchor moveWithCells="1">
                  <from>
                    <xdr:col>16</xdr:col>
                    <xdr:colOff>523875</xdr:colOff>
                    <xdr:row>29</xdr:row>
                    <xdr:rowOff>142875</xdr:rowOff>
                  </from>
                  <to>
                    <xdr:col>20</xdr:col>
                    <xdr:colOff>409575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46" name="Group Box 43">
              <controlPr defaultSize="0" autoFill="0" autoPict="0">
                <anchor moveWithCells="1">
                  <from>
                    <xdr:col>1</xdr:col>
                    <xdr:colOff>9525</xdr:colOff>
                    <xdr:row>32</xdr:row>
                    <xdr:rowOff>66675</xdr:rowOff>
                  </from>
                  <to>
                    <xdr:col>20</xdr:col>
                    <xdr:colOff>590550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47" name="Option Button 44">
              <controlPr defaultSize="0" autoFill="0" autoLine="0" autoPict="0">
                <anchor moveWithCells="1">
                  <from>
                    <xdr:col>1</xdr:col>
                    <xdr:colOff>180975</xdr:colOff>
                    <xdr:row>33</xdr:row>
                    <xdr:rowOff>76200</xdr:rowOff>
                  </from>
                  <to>
                    <xdr:col>5</xdr:col>
                    <xdr:colOff>66675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48" name="Option Button 45">
              <controlPr defaultSize="0" autoFill="0" autoLine="0" autoPict="0">
                <anchor moveWithCells="1">
                  <from>
                    <xdr:col>5</xdr:col>
                    <xdr:colOff>114300</xdr:colOff>
                    <xdr:row>33</xdr:row>
                    <xdr:rowOff>76200</xdr:rowOff>
                  </from>
                  <to>
                    <xdr:col>9</xdr:col>
                    <xdr:colOff>0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49" name="Option Button 46">
              <controlPr defaultSize="0" autoFill="0" autoLine="0" autoPict="0">
                <anchor moveWithCells="1">
                  <from>
                    <xdr:col>9</xdr:col>
                    <xdr:colOff>47625</xdr:colOff>
                    <xdr:row>33</xdr:row>
                    <xdr:rowOff>76200</xdr:rowOff>
                  </from>
                  <to>
                    <xdr:col>12</xdr:col>
                    <xdr:colOff>542925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50" name="Option Button 47">
              <controlPr defaultSize="0" autoFill="0" autoLine="0" autoPict="0">
                <anchor moveWithCells="1">
                  <from>
                    <xdr:col>12</xdr:col>
                    <xdr:colOff>590550</xdr:colOff>
                    <xdr:row>33</xdr:row>
                    <xdr:rowOff>76200</xdr:rowOff>
                  </from>
                  <to>
                    <xdr:col>16</xdr:col>
                    <xdr:colOff>476250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51" name="Option Button 48">
              <controlPr defaultSize="0" autoFill="0" autoLine="0" autoPict="0">
                <anchor moveWithCells="1">
                  <from>
                    <xdr:col>16</xdr:col>
                    <xdr:colOff>523875</xdr:colOff>
                    <xdr:row>33</xdr:row>
                    <xdr:rowOff>76200</xdr:rowOff>
                  </from>
                  <to>
                    <xdr:col>20</xdr:col>
                    <xdr:colOff>409575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52" name="Group Box 49">
              <controlPr defaultSize="0" autoFill="0" autoPict="0">
                <anchor moveWithCells="1">
                  <from>
                    <xdr:col>1</xdr:col>
                    <xdr:colOff>9525</xdr:colOff>
                    <xdr:row>36</xdr:row>
                    <xdr:rowOff>0</xdr:rowOff>
                  </from>
                  <to>
                    <xdr:col>20</xdr:col>
                    <xdr:colOff>590550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53" name="Option Button 50">
              <controlPr defaultSize="0" autoFill="0" autoLine="0" autoPict="0">
                <anchor moveWithCells="1">
                  <from>
                    <xdr:col>1</xdr:col>
                    <xdr:colOff>180975</xdr:colOff>
                    <xdr:row>37</xdr:row>
                    <xdr:rowOff>9525</xdr:rowOff>
                  </from>
                  <to>
                    <xdr:col>5</xdr:col>
                    <xdr:colOff>66675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54" name="Option Button 51">
              <controlPr defaultSize="0" autoFill="0" autoLine="0" autoPict="0">
                <anchor moveWithCells="1">
                  <from>
                    <xdr:col>5</xdr:col>
                    <xdr:colOff>114300</xdr:colOff>
                    <xdr:row>37</xdr:row>
                    <xdr:rowOff>9525</xdr:rowOff>
                  </from>
                  <to>
                    <xdr:col>9</xdr:col>
                    <xdr:colOff>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55" name="Option Button 52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9525</xdr:rowOff>
                  </from>
                  <to>
                    <xdr:col>12</xdr:col>
                    <xdr:colOff>542925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56" name="Option Button 53">
              <controlPr defaultSize="0" autoFill="0" autoLine="0" autoPict="0">
                <anchor moveWithCells="1">
                  <from>
                    <xdr:col>12</xdr:col>
                    <xdr:colOff>590550</xdr:colOff>
                    <xdr:row>37</xdr:row>
                    <xdr:rowOff>9525</xdr:rowOff>
                  </from>
                  <to>
                    <xdr:col>16</xdr:col>
                    <xdr:colOff>476250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57" name="Option Button 54">
              <controlPr defaultSize="0" autoFill="0" autoLine="0" autoPict="0">
                <anchor moveWithCells="1">
                  <from>
                    <xdr:col>16</xdr:col>
                    <xdr:colOff>523875</xdr:colOff>
                    <xdr:row>37</xdr:row>
                    <xdr:rowOff>9525</xdr:rowOff>
                  </from>
                  <to>
                    <xdr:col>20</xdr:col>
                    <xdr:colOff>409575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58" name="Group Box 55">
              <controlPr defaultSize="0" autoFill="0" autoPict="0">
                <anchor moveWithCells="1">
                  <from>
                    <xdr:col>1</xdr:col>
                    <xdr:colOff>9525</xdr:colOff>
                    <xdr:row>39</xdr:row>
                    <xdr:rowOff>123825</xdr:rowOff>
                  </from>
                  <to>
                    <xdr:col>20</xdr:col>
                    <xdr:colOff>590550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59" name="Option Button 56">
              <controlPr defaultSize="0" autoFill="0" autoLine="0" autoPict="0">
                <anchor moveWithCells="1">
                  <from>
                    <xdr:col>1</xdr:col>
                    <xdr:colOff>180975</xdr:colOff>
                    <xdr:row>40</xdr:row>
                    <xdr:rowOff>133350</xdr:rowOff>
                  </from>
                  <to>
                    <xdr:col>5</xdr:col>
                    <xdr:colOff>66675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60" name="Option Button 57">
              <controlPr defaultSize="0" autoFill="0" autoLine="0" autoPict="0">
                <anchor moveWithCells="1">
                  <from>
                    <xdr:col>5</xdr:col>
                    <xdr:colOff>114300</xdr:colOff>
                    <xdr:row>40</xdr:row>
                    <xdr:rowOff>133350</xdr:rowOff>
                  </from>
                  <to>
                    <xdr:col>9</xdr:col>
                    <xdr:colOff>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61" name="Option Button 58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133350</xdr:rowOff>
                  </from>
                  <to>
                    <xdr:col>12</xdr:col>
                    <xdr:colOff>542925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62" name="Option Button 59">
              <controlPr defaultSize="0" autoFill="0" autoLine="0" autoPict="0">
                <anchor moveWithCells="1">
                  <from>
                    <xdr:col>12</xdr:col>
                    <xdr:colOff>590550</xdr:colOff>
                    <xdr:row>40</xdr:row>
                    <xdr:rowOff>133350</xdr:rowOff>
                  </from>
                  <to>
                    <xdr:col>16</xdr:col>
                    <xdr:colOff>476250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63" name="Option Button 60">
              <controlPr defaultSize="0" autoFill="0" autoLine="0" autoPict="0">
                <anchor moveWithCells="1">
                  <from>
                    <xdr:col>16</xdr:col>
                    <xdr:colOff>523875</xdr:colOff>
                    <xdr:row>40</xdr:row>
                    <xdr:rowOff>133350</xdr:rowOff>
                  </from>
                  <to>
                    <xdr:col>20</xdr:col>
                    <xdr:colOff>409575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64" name="Group Box 61">
              <controlPr defaultSize="0" autoFill="0" autoPict="0">
                <anchor moveWithCells="1">
                  <from>
                    <xdr:col>1</xdr:col>
                    <xdr:colOff>9525</xdr:colOff>
                    <xdr:row>43</xdr:row>
                    <xdr:rowOff>57150</xdr:rowOff>
                  </from>
                  <to>
                    <xdr:col>20</xdr:col>
                    <xdr:colOff>590550</xdr:colOff>
                    <xdr:row>46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65" name="Option Button 62">
              <controlPr defaultSize="0" autoFill="0" autoLine="0" autoPict="0">
                <anchor moveWithCells="1">
                  <from>
                    <xdr:col>1</xdr:col>
                    <xdr:colOff>180975</xdr:colOff>
                    <xdr:row>44</xdr:row>
                    <xdr:rowOff>66675</xdr:rowOff>
                  </from>
                  <to>
                    <xdr:col>5</xdr:col>
                    <xdr:colOff>66675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66" name="Option Button 63">
              <controlPr defaultSize="0" autoFill="0" autoLine="0" autoPict="0">
                <anchor moveWithCells="1">
                  <from>
                    <xdr:col>5</xdr:col>
                    <xdr:colOff>114300</xdr:colOff>
                    <xdr:row>44</xdr:row>
                    <xdr:rowOff>66675</xdr:rowOff>
                  </from>
                  <to>
                    <xdr:col>9</xdr:col>
                    <xdr:colOff>0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67" name="Option Button 64">
              <controlPr defaultSize="0" autoFill="0" autoLine="0" autoPict="0">
                <anchor moveWithCells="1">
                  <from>
                    <xdr:col>9</xdr:col>
                    <xdr:colOff>47625</xdr:colOff>
                    <xdr:row>44</xdr:row>
                    <xdr:rowOff>66675</xdr:rowOff>
                  </from>
                  <to>
                    <xdr:col>12</xdr:col>
                    <xdr:colOff>542925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68" name="Option Button 65">
              <controlPr defaultSize="0" autoFill="0" autoLine="0" autoPict="0">
                <anchor moveWithCells="1">
                  <from>
                    <xdr:col>12</xdr:col>
                    <xdr:colOff>590550</xdr:colOff>
                    <xdr:row>44</xdr:row>
                    <xdr:rowOff>66675</xdr:rowOff>
                  </from>
                  <to>
                    <xdr:col>16</xdr:col>
                    <xdr:colOff>476250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69" name="Option Button 66">
              <controlPr defaultSize="0" autoFill="0" autoLine="0" autoPict="0">
                <anchor moveWithCells="1">
                  <from>
                    <xdr:col>16</xdr:col>
                    <xdr:colOff>523875</xdr:colOff>
                    <xdr:row>44</xdr:row>
                    <xdr:rowOff>66675</xdr:rowOff>
                  </from>
                  <to>
                    <xdr:col>20</xdr:col>
                    <xdr:colOff>409575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70" name="Group Box 67">
              <controlPr defaultSize="0" autoFill="0" autoPict="0">
                <anchor moveWithCells="1">
                  <from>
                    <xdr:col>1</xdr:col>
                    <xdr:colOff>9525</xdr:colOff>
                    <xdr:row>46</xdr:row>
                    <xdr:rowOff>180975</xdr:rowOff>
                  </from>
                  <to>
                    <xdr:col>20</xdr:col>
                    <xdr:colOff>590550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71" name="Option Button 68">
              <controlPr defaultSize="0" autoFill="0" autoLine="0" autoPict="0">
                <anchor moveWithCells="1">
                  <from>
                    <xdr:col>1</xdr:col>
                    <xdr:colOff>180975</xdr:colOff>
                    <xdr:row>48</xdr:row>
                    <xdr:rowOff>0</xdr:rowOff>
                  </from>
                  <to>
                    <xdr:col>5</xdr:col>
                    <xdr:colOff>66675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72" name="Option Button 69">
              <controlPr defaultSize="0" autoFill="0" autoLine="0" autoPict="0">
                <anchor moveWithCells="1">
                  <from>
                    <xdr:col>5</xdr:col>
                    <xdr:colOff>114300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73" name="Option Button 70">
              <controlPr defaultSize="0" autoFill="0" autoLine="0" autoPict="0">
                <anchor moveWithCells="1">
                  <from>
                    <xdr:col>9</xdr:col>
                    <xdr:colOff>47625</xdr:colOff>
                    <xdr:row>48</xdr:row>
                    <xdr:rowOff>0</xdr:rowOff>
                  </from>
                  <to>
                    <xdr:col>12</xdr:col>
                    <xdr:colOff>542925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74" name="Option Button 71">
              <controlPr defaultSize="0" autoFill="0" autoLine="0" autoPict="0">
                <anchor moveWithCells="1">
                  <from>
                    <xdr:col>12</xdr:col>
                    <xdr:colOff>590550</xdr:colOff>
                    <xdr:row>48</xdr:row>
                    <xdr:rowOff>0</xdr:rowOff>
                  </from>
                  <to>
                    <xdr:col>16</xdr:col>
                    <xdr:colOff>476250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75" name="Option Button 72">
              <controlPr defaultSize="0" autoFill="0" autoLine="0" autoPict="0">
                <anchor moveWithCells="1">
                  <from>
                    <xdr:col>16</xdr:col>
                    <xdr:colOff>523875</xdr:colOff>
                    <xdr:row>48</xdr:row>
                    <xdr:rowOff>0</xdr:rowOff>
                  </from>
                  <to>
                    <xdr:col>20</xdr:col>
                    <xdr:colOff>409575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76" name="Group Box 73">
              <controlPr defaultSize="0" autoFill="0" autoPict="0">
                <anchor moveWithCells="1">
                  <from>
                    <xdr:col>1</xdr:col>
                    <xdr:colOff>9525</xdr:colOff>
                    <xdr:row>50</xdr:row>
                    <xdr:rowOff>114300</xdr:rowOff>
                  </from>
                  <to>
                    <xdr:col>20</xdr:col>
                    <xdr:colOff>590550</xdr:colOff>
                    <xdr:row>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77" name="Option Button 74">
              <controlPr defaultSize="0" autoFill="0" autoLine="0" autoPict="0">
                <anchor moveWithCells="1">
                  <from>
                    <xdr:col>1</xdr:col>
                    <xdr:colOff>180975</xdr:colOff>
                    <xdr:row>51</xdr:row>
                    <xdr:rowOff>123825</xdr:rowOff>
                  </from>
                  <to>
                    <xdr:col>5</xdr:col>
                    <xdr:colOff>66675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78" name="Option Button 75">
              <controlPr defaultSize="0" autoFill="0" autoLine="0" autoPict="0">
                <anchor moveWithCells="1">
                  <from>
                    <xdr:col>5</xdr:col>
                    <xdr:colOff>114300</xdr:colOff>
                    <xdr:row>51</xdr:row>
                    <xdr:rowOff>123825</xdr:rowOff>
                  </from>
                  <to>
                    <xdr:col>9</xdr:col>
                    <xdr:colOff>0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79" name="Option Button 76">
              <controlPr defaultSize="0" autoFill="0" autoLine="0" autoPict="0">
                <anchor moveWithCells="1">
                  <from>
                    <xdr:col>9</xdr:col>
                    <xdr:colOff>47625</xdr:colOff>
                    <xdr:row>51</xdr:row>
                    <xdr:rowOff>123825</xdr:rowOff>
                  </from>
                  <to>
                    <xdr:col>12</xdr:col>
                    <xdr:colOff>542925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80" name="Option Button 77">
              <controlPr defaultSize="0" autoFill="0" autoLine="0" autoPict="0">
                <anchor moveWithCells="1">
                  <from>
                    <xdr:col>12</xdr:col>
                    <xdr:colOff>590550</xdr:colOff>
                    <xdr:row>51</xdr:row>
                    <xdr:rowOff>123825</xdr:rowOff>
                  </from>
                  <to>
                    <xdr:col>16</xdr:col>
                    <xdr:colOff>476250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81" name="Option Button 78">
              <controlPr defaultSize="0" autoFill="0" autoLine="0" autoPict="0">
                <anchor moveWithCells="1">
                  <from>
                    <xdr:col>16</xdr:col>
                    <xdr:colOff>523875</xdr:colOff>
                    <xdr:row>51</xdr:row>
                    <xdr:rowOff>123825</xdr:rowOff>
                  </from>
                  <to>
                    <xdr:col>20</xdr:col>
                    <xdr:colOff>409575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82" name="Group Box 79">
              <controlPr defaultSize="0" autoFill="0" autoPict="0">
                <anchor moveWithCells="1">
                  <from>
                    <xdr:col>1</xdr:col>
                    <xdr:colOff>9525</xdr:colOff>
                    <xdr:row>54</xdr:row>
                    <xdr:rowOff>47625</xdr:rowOff>
                  </from>
                  <to>
                    <xdr:col>20</xdr:col>
                    <xdr:colOff>590550</xdr:colOff>
                    <xdr:row>57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83" name="Option Button 80">
              <controlPr defaultSize="0" autoFill="0" autoLine="0" autoPict="0">
                <anchor moveWithCells="1">
                  <from>
                    <xdr:col>1</xdr:col>
                    <xdr:colOff>180975</xdr:colOff>
                    <xdr:row>55</xdr:row>
                    <xdr:rowOff>57150</xdr:rowOff>
                  </from>
                  <to>
                    <xdr:col>5</xdr:col>
                    <xdr:colOff>66675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84" name="Option Button 81">
              <controlPr defaultSize="0" autoFill="0" autoLine="0" autoPict="0">
                <anchor moveWithCells="1">
                  <from>
                    <xdr:col>5</xdr:col>
                    <xdr:colOff>114300</xdr:colOff>
                    <xdr:row>55</xdr:row>
                    <xdr:rowOff>57150</xdr:rowOff>
                  </from>
                  <to>
                    <xdr:col>9</xdr:col>
                    <xdr:colOff>0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85" name="Option Button 82">
              <controlPr defaultSize="0" autoFill="0" autoLine="0" autoPict="0">
                <anchor moveWithCells="1">
                  <from>
                    <xdr:col>9</xdr:col>
                    <xdr:colOff>47625</xdr:colOff>
                    <xdr:row>55</xdr:row>
                    <xdr:rowOff>57150</xdr:rowOff>
                  </from>
                  <to>
                    <xdr:col>12</xdr:col>
                    <xdr:colOff>542925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86" name="Option Button 83">
              <controlPr defaultSize="0" autoFill="0" autoLine="0" autoPict="0">
                <anchor moveWithCells="1">
                  <from>
                    <xdr:col>12</xdr:col>
                    <xdr:colOff>590550</xdr:colOff>
                    <xdr:row>55</xdr:row>
                    <xdr:rowOff>57150</xdr:rowOff>
                  </from>
                  <to>
                    <xdr:col>16</xdr:col>
                    <xdr:colOff>476250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87" name="Option Button 84">
              <controlPr defaultSize="0" autoFill="0" autoLine="0" autoPict="0">
                <anchor moveWithCells="1">
                  <from>
                    <xdr:col>16</xdr:col>
                    <xdr:colOff>523875</xdr:colOff>
                    <xdr:row>55</xdr:row>
                    <xdr:rowOff>57150</xdr:rowOff>
                  </from>
                  <to>
                    <xdr:col>20</xdr:col>
                    <xdr:colOff>409575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88" name="Group Box 85">
              <controlPr defaultSize="0" autoFill="0" autoPict="0">
                <anchor moveWithCells="1">
                  <from>
                    <xdr:col>1</xdr:col>
                    <xdr:colOff>9525</xdr:colOff>
                    <xdr:row>57</xdr:row>
                    <xdr:rowOff>171450</xdr:rowOff>
                  </from>
                  <to>
                    <xdr:col>20</xdr:col>
                    <xdr:colOff>590550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89" name="Option Button 86">
              <controlPr defaultSize="0" autoFill="0" autoLine="0" autoPict="0">
                <anchor moveWithCells="1">
                  <from>
                    <xdr:col>1</xdr:col>
                    <xdr:colOff>180975</xdr:colOff>
                    <xdr:row>58</xdr:row>
                    <xdr:rowOff>180975</xdr:rowOff>
                  </from>
                  <to>
                    <xdr:col>5</xdr:col>
                    <xdr:colOff>66675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90" name="Option Button 87">
              <controlPr defaultSize="0" autoFill="0" autoLine="0" autoPict="0">
                <anchor moveWithCells="1">
                  <from>
                    <xdr:col>5</xdr:col>
                    <xdr:colOff>114300</xdr:colOff>
                    <xdr:row>58</xdr:row>
                    <xdr:rowOff>180975</xdr:rowOff>
                  </from>
                  <to>
                    <xdr:col>9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91" name="Option Button 88">
              <controlPr defaultSize="0" autoFill="0" autoLine="0" autoPict="0">
                <anchor moveWithCells="1">
                  <from>
                    <xdr:col>9</xdr:col>
                    <xdr:colOff>47625</xdr:colOff>
                    <xdr:row>58</xdr:row>
                    <xdr:rowOff>180975</xdr:rowOff>
                  </from>
                  <to>
                    <xdr:col>12</xdr:col>
                    <xdr:colOff>542925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92" name="Option Button 89">
              <controlPr defaultSize="0" autoFill="0" autoLine="0" autoPict="0">
                <anchor moveWithCells="1">
                  <from>
                    <xdr:col>12</xdr:col>
                    <xdr:colOff>590550</xdr:colOff>
                    <xdr:row>58</xdr:row>
                    <xdr:rowOff>180975</xdr:rowOff>
                  </from>
                  <to>
                    <xdr:col>16</xdr:col>
                    <xdr:colOff>476250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93" name="Option Button 90">
              <controlPr defaultSize="0" autoFill="0" autoLine="0" autoPict="0">
                <anchor moveWithCells="1">
                  <from>
                    <xdr:col>16</xdr:col>
                    <xdr:colOff>523875</xdr:colOff>
                    <xdr:row>58</xdr:row>
                    <xdr:rowOff>180975</xdr:rowOff>
                  </from>
                  <to>
                    <xdr:col>20</xdr:col>
                    <xdr:colOff>409575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94" name="Group Box 91">
              <controlPr defaultSize="0" autoFill="0" autoPict="0">
                <anchor moveWithCells="1">
                  <from>
                    <xdr:col>1</xdr:col>
                    <xdr:colOff>9525</xdr:colOff>
                    <xdr:row>61</xdr:row>
                    <xdr:rowOff>104775</xdr:rowOff>
                  </from>
                  <to>
                    <xdr:col>20</xdr:col>
                    <xdr:colOff>590550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95" name="Option Button 92">
              <controlPr defaultSize="0" autoFill="0" autoLine="0" autoPict="0">
                <anchor moveWithCells="1">
                  <from>
                    <xdr:col>1</xdr:col>
                    <xdr:colOff>180975</xdr:colOff>
                    <xdr:row>62</xdr:row>
                    <xdr:rowOff>114300</xdr:rowOff>
                  </from>
                  <to>
                    <xdr:col>5</xdr:col>
                    <xdr:colOff>66675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96" name="Option Button 93">
              <controlPr defaultSize="0" autoFill="0" autoLine="0" autoPict="0">
                <anchor moveWithCells="1">
                  <from>
                    <xdr:col>5</xdr:col>
                    <xdr:colOff>114300</xdr:colOff>
                    <xdr:row>62</xdr:row>
                    <xdr:rowOff>114300</xdr:rowOff>
                  </from>
                  <to>
                    <xdr:col>9</xdr:col>
                    <xdr:colOff>0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97" name="Option Button 94">
              <controlPr defaultSize="0" autoFill="0" autoLine="0" autoPict="0">
                <anchor moveWithCells="1">
                  <from>
                    <xdr:col>9</xdr:col>
                    <xdr:colOff>47625</xdr:colOff>
                    <xdr:row>62</xdr:row>
                    <xdr:rowOff>114300</xdr:rowOff>
                  </from>
                  <to>
                    <xdr:col>12</xdr:col>
                    <xdr:colOff>542925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98" name="Option Button 95">
              <controlPr defaultSize="0" autoFill="0" autoLine="0" autoPict="0">
                <anchor moveWithCells="1">
                  <from>
                    <xdr:col>12</xdr:col>
                    <xdr:colOff>590550</xdr:colOff>
                    <xdr:row>62</xdr:row>
                    <xdr:rowOff>114300</xdr:rowOff>
                  </from>
                  <to>
                    <xdr:col>16</xdr:col>
                    <xdr:colOff>476250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99" name="Option Button 96">
              <controlPr defaultSize="0" autoFill="0" autoLine="0" autoPict="0">
                <anchor moveWithCells="1">
                  <from>
                    <xdr:col>16</xdr:col>
                    <xdr:colOff>523875</xdr:colOff>
                    <xdr:row>62</xdr:row>
                    <xdr:rowOff>114300</xdr:rowOff>
                  </from>
                  <to>
                    <xdr:col>20</xdr:col>
                    <xdr:colOff>409575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00" name="Group Box 97">
              <controlPr defaultSize="0" autoFill="0" autoPict="0">
                <anchor moveWithCells="1">
                  <from>
                    <xdr:col>1</xdr:col>
                    <xdr:colOff>9525</xdr:colOff>
                    <xdr:row>65</xdr:row>
                    <xdr:rowOff>38100</xdr:rowOff>
                  </from>
                  <to>
                    <xdr:col>20</xdr:col>
                    <xdr:colOff>590550</xdr:colOff>
                    <xdr:row>68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01" name="Option Button 98">
              <controlPr defaultSize="0" autoFill="0" autoLine="0" autoPict="0">
                <anchor moveWithCells="1">
                  <from>
                    <xdr:col>1</xdr:col>
                    <xdr:colOff>180975</xdr:colOff>
                    <xdr:row>66</xdr:row>
                    <xdr:rowOff>47625</xdr:rowOff>
                  </from>
                  <to>
                    <xdr:col>5</xdr:col>
                    <xdr:colOff>66675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02" name="Option Button 99">
              <controlPr defaultSize="0" autoFill="0" autoLine="0" autoPict="0">
                <anchor moveWithCells="1">
                  <from>
                    <xdr:col>5</xdr:col>
                    <xdr:colOff>114300</xdr:colOff>
                    <xdr:row>66</xdr:row>
                    <xdr:rowOff>47625</xdr:rowOff>
                  </from>
                  <to>
                    <xdr:col>9</xdr:col>
                    <xdr:colOff>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03" name="Option Button 100">
              <controlPr defaultSize="0" autoFill="0" autoLine="0" autoPict="0">
                <anchor moveWithCells="1">
                  <from>
                    <xdr:col>9</xdr:col>
                    <xdr:colOff>47625</xdr:colOff>
                    <xdr:row>66</xdr:row>
                    <xdr:rowOff>47625</xdr:rowOff>
                  </from>
                  <to>
                    <xdr:col>12</xdr:col>
                    <xdr:colOff>542925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04" name="Option Button 101">
              <controlPr defaultSize="0" autoFill="0" autoLine="0" autoPict="0">
                <anchor moveWithCells="1">
                  <from>
                    <xdr:col>12</xdr:col>
                    <xdr:colOff>590550</xdr:colOff>
                    <xdr:row>66</xdr:row>
                    <xdr:rowOff>47625</xdr:rowOff>
                  </from>
                  <to>
                    <xdr:col>16</xdr:col>
                    <xdr:colOff>476250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05" name="Option Button 102">
              <controlPr defaultSize="0" autoFill="0" autoLine="0" autoPict="0">
                <anchor moveWithCells="1">
                  <from>
                    <xdr:col>16</xdr:col>
                    <xdr:colOff>523875</xdr:colOff>
                    <xdr:row>66</xdr:row>
                    <xdr:rowOff>47625</xdr:rowOff>
                  </from>
                  <to>
                    <xdr:col>20</xdr:col>
                    <xdr:colOff>409575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06" name="Group Box 103">
              <controlPr defaultSize="0" autoFill="0" autoPict="0">
                <anchor moveWithCells="1">
                  <from>
                    <xdr:col>1</xdr:col>
                    <xdr:colOff>9525</xdr:colOff>
                    <xdr:row>68</xdr:row>
                    <xdr:rowOff>161925</xdr:rowOff>
                  </from>
                  <to>
                    <xdr:col>20</xdr:col>
                    <xdr:colOff>590550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07" name="Option Button 104">
              <controlPr defaultSize="0" autoFill="0" autoLine="0" autoPict="0">
                <anchor moveWithCells="1">
                  <from>
                    <xdr:col>1</xdr:col>
                    <xdr:colOff>180975</xdr:colOff>
                    <xdr:row>69</xdr:row>
                    <xdr:rowOff>171450</xdr:rowOff>
                  </from>
                  <to>
                    <xdr:col>5</xdr:col>
                    <xdr:colOff>66675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08" name="Option Button 105">
              <controlPr defaultSize="0" autoFill="0" autoLine="0" autoPict="0">
                <anchor moveWithCells="1">
                  <from>
                    <xdr:col>5</xdr:col>
                    <xdr:colOff>114300</xdr:colOff>
                    <xdr:row>69</xdr:row>
                    <xdr:rowOff>171450</xdr:rowOff>
                  </from>
                  <to>
                    <xdr:col>9</xdr:col>
                    <xdr:colOff>0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09" name="Option Button 106">
              <controlPr defaultSize="0" autoFill="0" autoLine="0" autoPict="0">
                <anchor moveWithCells="1">
                  <from>
                    <xdr:col>9</xdr:col>
                    <xdr:colOff>47625</xdr:colOff>
                    <xdr:row>69</xdr:row>
                    <xdr:rowOff>171450</xdr:rowOff>
                  </from>
                  <to>
                    <xdr:col>12</xdr:col>
                    <xdr:colOff>542925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10" name="Option Button 107">
              <controlPr defaultSize="0" autoFill="0" autoLine="0" autoPict="0">
                <anchor moveWithCells="1">
                  <from>
                    <xdr:col>12</xdr:col>
                    <xdr:colOff>590550</xdr:colOff>
                    <xdr:row>69</xdr:row>
                    <xdr:rowOff>171450</xdr:rowOff>
                  </from>
                  <to>
                    <xdr:col>16</xdr:col>
                    <xdr:colOff>476250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11" name="Option Button 108">
              <controlPr defaultSize="0" autoFill="0" autoLine="0" autoPict="0">
                <anchor moveWithCells="1">
                  <from>
                    <xdr:col>16</xdr:col>
                    <xdr:colOff>523875</xdr:colOff>
                    <xdr:row>69</xdr:row>
                    <xdr:rowOff>171450</xdr:rowOff>
                  </from>
                  <to>
                    <xdr:col>20</xdr:col>
                    <xdr:colOff>409575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12" name="Group Box 109">
              <controlPr defaultSize="0" autoFill="0" autoPict="0">
                <anchor moveWithCells="1">
                  <from>
                    <xdr:col>1</xdr:col>
                    <xdr:colOff>9525</xdr:colOff>
                    <xdr:row>72</xdr:row>
                    <xdr:rowOff>95250</xdr:rowOff>
                  </from>
                  <to>
                    <xdr:col>20</xdr:col>
                    <xdr:colOff>590550</xdr:colOff>
                    <xdr:row>75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13" name="Option Button 110">
              <controlPr defaultSize="0" autoFill="0" autoLine="0" autoPict="0">
                <anchor moveWithCells="1">
                  <from>
                    <xdr:col>1</xdr:col>
                    <xdr:colOff>180975</xdr:colOff>
                    <xdr:row>73</xdr:row>
                    <xdr:rowOff>104775</xdr:rowOff>
                  </from>
                  <to>
                    <xdr:col>5</xdr:col>
                    <xdr:colOff>66675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14" name="Option Button 111">
              <controlPr defaultSize="0" autoFill="0" autoLine="0" autoPict="0">
                <anchor moveWithCells="1">
                  <from>
                    <xdr:col>5</xdr:col>
                    <xdr:colOff>114300</xdr:colOff>
                    <xdr:row>73</xdr:row>
                    <xdr:rowOff>104775</xdr:rowOff>
                  </from>
                  <to>
                    <xdr:col>9</xdr:col>
                    <xdr:colOff>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15" name="Option Button 112">
              <controlPr defaultSize="0" autoFill="0" autoLine="0" autoPict="0">
                <anchor moveWithCells="1">
                  <from>
                    <xdr:col>9</xdr:col>
                    <xdr:colOff>47625</xdr:colOff>
                    <xdr:row>73</xdr:row>
                    <xdr:rowOff>104775</xdr:rowOff>
                  </from>
                  <to>
                    <xdr:col>12</xdr:col>
                    <xdr:colOff>542925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16" name="Option Button 113">
              <controlPr defaultSize="0" autoFill="0" autoLine="0" autoPict="0">
                <anchor moveWithCells="1">
                  <from>
                    <xdr:col>12</xdr:col>
                    <xdr:colOff>590550</xdr:colOff>
                    <xdr:row>73</xdr:row>
                    <xdr:rowOff>104775</xdr:rowOff>
                  </from>
                  <to>
                    <xdr:col>16</xdr:col>
                    <xdr:colOff>476250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17" name="Option Button 114">
              <controlPr defaultSize="0" autoFill="0" autoLine="0" autoPict="0">
                <anchor moveWithCells="1">
                  <from>
                    <xdr:col>16</xdr:col>
                    <xdr:colOff>523875</xdr:colOff>
                    <xdr:row>73</xdr:row>
                    <xdr:rowOff>104775</xdr:rowOff>
                  </from>
                  <to>
                    <xdr:col>20</xdr:col>
                    <xdr:colOff>409575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18" name="Group Box 115">
              <controlPr defaultSize="0" autoFill="0" autoPict="0">
                <anchor moveWithCells="1">
                  <from>
                    <xdr:col>1</xdr:col>
                    <xdr:colOff>9525</xdr:colOff>
                    <xdr:row>76</xdr:row>
                    <xdr:rowOff>28575</xdr:rowOff>
                  </from>
                  <to>
                    <xdr:col>20</xdr:col>
                    <xdr:colOff>590550</xdr:colOff>
                    <xdr:row>79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19" name="Option Button 116">
              <controlPr defaultSize="0" autoFill="0" autoLine="0" autoPict="0">
                <anchor moveWithCells="1">
                  <from>
                    <xdr:col>1</xdr:col>
                    <xdr:colOff>180975</xdr:colOff>
                    <xdr:row>77</xdr:row>
                    <xdr:rowOff>38100</xdr:rowOff>
                  </from>
                  <to>
                    <xdr:col>5</xdr:col>
                    <xdr:colOff>66675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20" name="Option Button 117">
              <controlPr defaultSize="0" autoFill="0" autoLine="0" autoPict="0">
                <anchor moveWithCells="1">
                  <from>
                    <xdr:col>5</xdr:col>
                    <xdr:colOff>114300</xdr:colOff>
                    <xdr:row>77</xdr:row>
                    <xdr:rowOff>38100</xdr:rowOff>
                  </from>
                  <to>
                    <xdr:col>9</xdr:col>
                    <xdr:colOff>0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21" name="Option Button 118">
              <controlPr defaultSize="0" autoFill="0" autoLine="0" autoPict="0">
                <anchor moveWithCells="1">
                  <from>
                    <xdr:col>9</xdr:col>
                    <xdr:colOff>47625</xdr:colOff>
                    <xdr:row>77</xdr:row>
                    <xdr:rowOff>38100</xdr:rowOff>
                  </from>
                  <to>
                    <xdr:col>12</xdr:col>
                    <xdr:colOff>542925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22" name="Option Button 119">
              <controlPr defaultSize="0" autoFill="0" autoLine="0" autoPict="0">
                <anchor moveWithCells="1">
                  <from>
                    <xdr:col>12</xdr:col>
                    <xdr:colOff>590550</xdr:colOff>
                    <xdr:row>77</xdr:row>
                    <xdr:rowOff>38100</xdr:rowOff>
                  </from>
                  <to>
                    <xdr:col>16</xdr:col>
                    <xdr:colOff>476250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23" name="Option Button 120">
              <controlPr defaultSize="0" autoFill="0" autoLine="0" autoPict="0">
                <anchor moveWithCells="1">
                  <from>
                    <xdr:col>16</xdr:col>
                    <xdr:colOff>523875</xdr:colOff>
                    <xdr:row>77</xdr:row>
                    <xdr:rowOff>38100</xdr:rowOff>
                  </from>
                  <to>
                    <xdr:col>20</xdr:col>
                    <xdr:colOff>409575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24" name="Group Box 121">
              <controlPr defaultSize="0" autoFill="0" autoPict="0">
                <anchor moveWithCells="1">
                  <from>
                    <xdr:col>1</xdr:col>
                    <xdr:colOff>9525</xdr:colOff>
                    <xdr:row>79</xdr:row>
                    <xdr:rowOff>152400</xdr:rowOff>
                  </from>
                  <to>
                    <xdr:col>20</xdr:col>
                    <xdr:colOff>590550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25" name="Option Button 122">
              <controlPr defaultSize="0" autoFill="0" autoLine="0" autoPict="0">
                <anchor moveWithCells="1">
                  <from>
                    <xdr:col>1</xdr:col>
                    <xdr:colOff>180975</xdr:colOff>
                    <xdr:row>80</xdr:row>
                    <xdr:rowOff>161925</xdr:rowOff>
                  </from>
                  <to>
                    <xdr:col>5</xdr:col>
                    <xdr:colOff>66675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26" name="Option Button 123">
              <controlPr defaultSize="0" autoFill="0" autoLine="0" autoPict="0">
                <anchor moveWithCells="1">
                  <from>
                    <xdr:col>5</xdr:col>
                    <xdr:colOff>114300</xdr:colOff>
                    <xdr:row>80</xdr:row>
                    <xdr:rowOff>161925</xdr:rowOff>
                  </from>
                  <to>
                    <xdr:col>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27" name="Option Button 124">
              <controlPr defaultSize="0" autoFill="0" autoLine="0" autoPict="0">
                <anchor moveWithCells="1">
                  <from>
                    <xdr:col>9</xdr:col>
                    <xdr:colOff>47625</xdr:colOff>
                    <xdr:row>80</xdr:row>
                    <xdr:rowOff>161925</xdr:rowOff>
                  </from>
                  <to>
                    <xdr:col>12</xdr:col>
                    <xdr:colOff>542925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28" name="Option Button 125">
              <controlPr defaultSize="0" autoFill="0" autoLine="0" autoPict="0">
                <anchor moveWithCells="1">
                  <from>
                    <xdr:col>12</xdr:col>
                    <xdr:colOff>590550</xdr:colOff>
                    <xdr:row>80</xdr:row>
                    <xdr:rowOff>161925</xdr:rowOff>
                  </from>
                  <to>
                    <xdr:col>16</xdr:col>
                    <xdr:colOff>476250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29" name="Option Button 126">
              <controlPr defaultSize="0" autoFill="0" autoLine="0" autoPict="0">
                <anchor moveWithCells="1">
                  <from>
                    <xdr:col>16</xdr:col>
                    <xdr:colOff>523875</xdr:colOff>
                    <xdr:row>80</xdr:row>
                    <xdr:rowOff>161925</xdr:rowOff>
                  </from>
                  <to>
                    <xdr:col>20</xdr:col>
                    <xdr:colOff>409575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30" name="Group Box 127">
              <controlPr defaultSize="0" autoFill="0" autoPict="0">
                <anchor moveWithCells="1">
                  <from>
                    <xdr:col>1</xdr:col>
                    <xdr:colOff>9525</xdr:colOff>
                    <xdr:row>83</xdr:row>
                    <xdr:rowOff>85725</xdr:rowOff>
                  </from>
                  <to>
                    <xdr:col>20</xdr:col>
                    <xdr:colOff>590550</xdr:colOff>
                    <xdr:row>86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31" name="Option Button 128">
              <controlPr defaultSize="0" autoFill="0" autoLine="0" autoPict="0">
                <anchor moveWithCells="1">
                  <from>
                    <xdr:col>1</xdr:col>
                    <xdr:colOff>180975</xdr:colOff>
                    <xdr:row>84</xdr:row>
                    <xdr:rowOff>95250</xdr:rowOff>
                  </from>
                  <to>
                    <xdr:col>5</xdr:col>
                    <xdr:colOff>66675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32" name="Option Button 129">
              <controlPr defaultSize="0" autoFill="0" autoLine="0" autoPict="0">
                <anchor moveWithCells="1">
                  <from>
                    <xdr:col>5</xdr:col>
                    <xdr:colOff>114300</xdr:colOff>
                    <xdr:row>84</xdr:row>
                    <xdr:rowOff>95250</xdr:rowOff>
                  </from>
                  <to>
                    <xdr:col>9</xdr:col>
                    <xdr:colOff>0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33" name="Option Button 130">
              <controlPr defaultSize="0" autoFill="0" autoLine="0" autoPict="0">
                <anchor moveWithCells="1">
                  <from>
                    <xdr:col>9</xdr:col>
                    <xdr:colOff>47625</xdr:colOff>
                    <xdr:row>84</xdr:row>
                    <xdr:rowOff>95250</xdr:rowOff>
                  </from>
                  <to>
                    <xdr:col>12</xdr:col>
                    <xdr:colOff>542925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34" name="Option Button 131">
              <controlPr defaultSize="0" autoFill="0" autoLine="0" autoPict="0">
                <anchor moveWithCells="1">
                  <from>
                    <xdr:col>12</xdr:col>
                    <xdr:colOff>590550</xdr:colOff>
                    <xdr:row>84</xdr:row>
                    <xdr:rowOff>95250</xdr:rowOff>
                  </from>
                  <to>
                    <xdr:col>16</xdr:col>
                    <xdr:colOff>476250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35" name="Option Button 132">
              <controlPr defaultSize="0" autoFill="0" autoLine="0" autoPict="0">
                <anchor moveWithCells="1">
                  <from>
                    <xdr:col>16</xdr:col>
                    <xdr:colOff>523875</xdr:colOff>
                    <xdr:row>84</xdr:row>
                    <xdr:rowOff>95250</xdr:rowOff>
                  </from>
                  <to>
                    <xdr:col>20</xdr:col>
                    <xdr:colOff>409575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36" name="Group Box 133">
              <controlPr defaultSize="0" autoFill="0" autoPict="0">
                <anchor moveWithCells="1">
                  <from>
                    <xdr:col>1</xdr:col>
                    <xdr:colOff>9525</xdr:colOff>
                    <xdr:row>87</xdr:row>
                    <xdr:rowOff>19050</xdr:rowOff>
                  </from>
                  <to>
                    <xdr:col>20</xdr:col>
                    <xdr:colOff>590550</xdr:colOff>
                    <xdr:row>90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37" name="Option Button 134">
              <controlPr defaultSize="0" autoFill="0" autoLine="0" autoPict="0">
                <anchor moveWithCells="1">
                  <from>
                    <xdr:col>1</xdr:col>
                    <xdr:colOff>180975</xdr:colOff>
                    <xdr:row>88</xdr:row>
                    <xdr:rowOff>28575</xdr:rowOff>
                  </from>
                  <to>
                    <xdr:col>5</xdr:col>
                    <xdr:colOff>66675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38" name="Option Button 135">
              <controlPr defaultSize="0" autoFill="0" autoLine="0" autoPict="0">
                <anchor moveWithCells="1">
                  <from>
                    <xdr:col>5</xdr:col>
                    <xdr:colOff>114300</xdr:colOff>
                    <xdr:row>88</xdr:row>
                    <xdr:rowOff>28575</xdr:rowOff>
                  </from>
                  <to>
                    <xdr:col>9</xdr:col>
                    <xdr:colOff>0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39" name="Option Button 136">
              <controlPr defaultSize="0" autoFill="0" autoLine="0" autoPict="0">
                <anchor moveWithCells="1">
                  <from>
                    <xdr:col>9</xdr:col>
                    <xdr:colOff>47625</xdr:colOff>
                    <xdr:row>88</xdr:row>
                    <xdr:rowOff>28575</xdr:rowOff>
                  </from>
                  <to>
                    <xdr:col>12</xdr:col>
                    <xdr:colOff>542925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40" name="Option Button 137">
              <controlPr defaultSize="0" autoFill="0" autoLine="0" autoPict="0">
                <anchor moveWithCells="1">
                  <from>
                    <xdr:col>12</xdr:col>
                    <xdr:colOff>590550</xdr:colOff>
                    <xdr:row>88</xdr:row>
                    <xdr:rowOff>28575</xdr:rowOff>
                  </from>
                  <to>
                    <xdr:col>16</xdr:col>
                    <xdr:colOff>476250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41" name="Option Button 138">
              <controlPr defaultSize="0" autoFill="0" autoLine="0" autoPict="0">
                <anchor moveWithCells="1">
                  <from>
                    <xdr:col>16</xdr:col>
                    <xdr:colOff>523875</xdr:colOff>
                    <xdr:row>88</xdr:row>
                    <xdr:rowOff>28575</xdr:rowOff>
                  </from>
                  <to>
                    <xdr:col>20</xdr:col>
                    <xdr:colOff>409575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42" name="Group Box 139">
              <controlPr defaultSize="0" autoFill="0" autoPict="0">
                <anchor moveWithCells="1">
                  <from>
                    <xdr:col>1</xdr:col>
                    <xdr:colOff>9525</xdr:colOff>
                    <xdr:row>90</xdr:row>
                    <xdr:rowOff>142875</xdr:rowOff>
                  </from>
                  <to>
                    <xdr:col>20</xdr:col>
                    <xdr:colOff>590550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43" name="Option Button 140">
              <controlPr defaultSize="0" autoFill="0" autoLine="0" autoPict="0">
                <anchor moveWithCells="1">
                  <from>
                    <xdr:col>1</xdr:col>
                    <xdr:colOff>180975</xdr:colOff>
                    <xdr:row>91</xdr:row>
                    <xdr:rowOff>152400</xdr:rowOff>
                  </from>
                  <to>
                    <xdr:col>5</xdr:col>
                    <xdr:colOff>66675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44" name="Option Button 141">
              <controlPr defaultSize="0" autoFill="0" autoLine="0" autoPict="0">
                <anchor moveWithCells="1">
                  <from>
                    <xdr:col>5</xdr:col>
                    <xdr:colOff>114300</xdr:colOff>
                    <xdr:row>91</xdr:row>
                    <xdr:rowOff>152400</xdr:rowOff>
                  </from>
                  <to>
                    <xdr:col>9</xdr:col>
                    <xdr:colOff>0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45" name="Option Button 142">
              <controlPr defaultSize="0" autoFill="0" autoLine="0" autoPict="0">
                <anchor moveWithCells="1">
                  <from>
                    <xdr:col>9</xdr:col>
                    <xdr:colOff>47625</xdr:colOff>
                    <xdr:row>91</xdr:row>
                    <xdr:rowOff>152400</xdr:rowOff>
                  </from>
                  <to>
                    <xdr:col>12</xdr:col>
                    <xdr:colOff>542925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46" name="Option Button 143">
              <controlPr defaultSize="0" autoFill="0" autoLine="0" autoPict="0">
                <anchor moveWithCells="1">
                  <from>
                    <xdr:col>12</xdr:col>
                    <xdr:colOff>590550</xdr:colOff>
                    <xdr:row>91</xdr:row>
                    <xdr:rowOff>152400</xdr:rowOff>
                  </from>
                  <to>
                    <xdr:col>16</xdr:col>
                    <xdr:colOff>476250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47" name="Option Button 144">
              <controlPr defaultSize="0" autoFill="0" autoLine="0" autoPict="0">
                <anchor moveWithCells="1">
                  <from>
                    <xdr:col>16</xdr:col>
                    <xdr:colOff>523875</xdr:colOff>
                    <xdr:row>91</xdr:row>
                    <xdr:rowOff>152400</xdr:rowOff>
                  </from>
                  <to>
                    <xdr:col>20</xdr:col>
                    <xdr:colOff>409575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48" name="Group Box 145">
              <controlPr defaultSize="0" autoFill="0" autoPict="0">
                <anchor moveWithCells="1">
                  <from>
                    <xdr:col>1</xdr:col>
                    <xdr:colOff>9525</xdr:colOff>
                    <xdr:row>94</xdr:row>
                    <xdr:rowOff>76200</xdr:rowOff>
                  </from>
                  <to>
                    <xdr:col>20</xdr:col>
                    <xdr:colOff>590550</xdr:colOff>
                    <xdr:row>97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49" name="Option Button 146">
              <controlPr defaultSize="0" autoFill="0" autoLine="0" autoPict="0">
                <anchor moveWithCells="1">
                  <from>
                    <xdr:col>1</xdr:col>
                    <xdr:colOff>180975</xdr:colOff>
                    <xdr:row>95</xdr:row>
                    <xdr:rowOff>85725</xdr:rowOff>
                  </from>
                  <to>
                    <xdr:col>5</xdr:col>
                    <xdr:colOff>66675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50" name="Option Button 147">
              <controlPr defaultSize="0" autoFill="0" autoLine="0" autoPict="0">
                <anchor moveWithCells="1">
                  <from>
                    <xdr:col>5</xdr:col>
                    <xdr:colOff>114300</xdr:colOff>
                    <xdr:row>95</xdr:row>
                    <xdr:rowOff>85725</xdr:rowOff>
                  </from>
                  <to>
                    <xdr:col>9</xdr:col>
                    <xdr:colOff>0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51" name="Option Button 148">
              <controlPr defaultSize="0" autoFill="0" autoLine="0" autoPict="0">
                <anchor moveWithCells="1">
                  <from>
                    <xdr:col>9</xdr:col>
                    <xdr:colOff>47625</xdr:colOff>
                    <xdr:row>95</xdr:row>
                    <xdr:rowOff>85725</xdr:rowOff>
                  </from>
                  <to>
                    <xdr:col>12</xdr:col>
                    <xdr:colOff>542925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52" name="Option Button 149">
              <controlPr defaultSize="0" autoFill="0" autoLine="0" autoPict="0">
                <anchor moveWithCells="1">
                  <from>
                    <xdr:col>12</xdr:col>
                    <xdr:colOff>590550</xdr:colOff>
                    <xdr:row>95</xdr:row>
                    <xdr:rowOff>85725</xdr:rowOff>
                  </from>
                  <to>
                    <xdr:col>16</xdr:col>
                    <xdr:colOff>476250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53" name="Option Button 150">
              <controlPr defaultSize="0" autoFill="0" autoLine="0" autoPict="0">
                <anchor moveWithCells="1">
                  <from>
                    <xdr:col>16</xdr:col>
                    <xdr:colOff>523875</xdr:colOff>
                    <xdr:row>95</xdr:row>
                    <xdr:rowOff>85725</xdr:rowOff>
                  </from>
                  <to>
                    <xdr:col>20</xdr:col>
                    <xdr:colOff>409575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54" name="Group Box 151">
              <controlPr defaultSize="0" autoFill="0" autoPict="0">
                <anchor moveWithCells="1">
                  <from>
                    <xdr:col>1</xdr:col>
                    <xdr:colOff>9525</xdr:colOff>
                    <xdr:row>98</xdr:row>
                    <xdr:rowOff>9525</xdr:rowOff>
                  </from>
                  <to>
                    <xdr:col>20</xdr:col>
                    <xdr:colOff>590550</xdr:colOff>
                    <xdr:row>101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55" name="Option Button 152">
              <controlPr defaultSize="0" autoFill="0" autoLine="0" autoPict="0">
                <anchor moveWithCells="1">
                  <from>
                    <xdr:col>1</xdr:col>
                    <xdr:colOff>180975</xdr:colOff>
                    <xdr:row>99</xdr:row>
                    <xdr:rowOff>19050</xdr:rowOff>
                  </from>
                  <to>
                    <xdr:col>5</xdr:col>
                    <xdr:colOff>66675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56" name="Option Button 153">
              <controlPr defaultSize="0" autoFill="0" autoLine="0" autoPict="0">
                <anchor moveWithCells="1">
                  <from>
                    <xdr:col>5</xdr:col>
                    <xdr:colOff>114300</xdr:colOff>
                    <xdr:row>99</xdr:row>
                    <xdr:rowOff>19050</xdr:rowOff>
                  </from>
                  <to>
                    <xdr:col>9</xdr:col>
                    <xdr:colOff>0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57" name="Option Button 154">
              <controlPr defaultSize="0" autoFill="0" autoLine="0" autoPict="0">
                <anchor moveWithCells="1">
                  <from>
                    <xdr:col>9</xdr:col>
                    <xdr:colOff>47625</xdr:colOff>
                    <xdr:row>99</xdr:row>
                    <xdr:rowOff>19050</xdr:rowOff>
                  </from>
                  <to>
                    <xdr:col>12</xdr:col>
                    <xdr:colOff>542925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58" name="Option Button 155">
              <controlPr defaultSize="0" autoFill="0" autoLine="0" autoPict="0">
                <anchor moveWithCells="1">
                  <from>
                    <xdr:col>12</xdr:col>
                    <xdr:colOff>590550</xdr:colOff>
                    <xdr:row>99</xdr:row>
                    <xdr:rowOff>19050</xdr:rowOff>
                  </from>
                  <to>
                    <xdr:col>16</xdr:col>
                    <xdr:colOff>476250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59" name="Option Button 156">
              <controlPr defaultSize="0" autoFill="0" autoLine="0" autoPict="0">
                <anchor moveWithCells="1">
                  <from>
                    <xdr:col>16</xdr:col>
                    <xdr:colOff>523875</xdr:colOff>
                    <xdr:row>99</xdr:row>
                    <xdr:rowOff>19050</xdr:rowOff>
                  </from>
                  <to>
                    <xdr:col>20</xdr:col>
                    <xdr:colOff>409575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60" name="Group Box 157">
              <controlPr defaultSize="0" autoFill="0" autoPict="0">
                <anchor moveWithCells="1">
                  <from>
                    <xdr:col>1</xdr:col>
                    <xdr:colOff>9525</xdr:colOff>
                    <xdr:row>101</xdr:row>
                    <xdr:rowOff>133350</xdr:rowOff>
                  </from>
                  <to>
                    <xdr:col>20</xdr:col>
                    <xdr:colOff>590550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61" name="Option Button 158">
              <controlPr defaultSize="0" autoFill="0" autoLine="0" autoPict="0">
                <anchor moveWithCells="1">
                  <from>
                    <xdr:col>1</xdr:col>
                    <xdr:colOff>180975</xdr:colOff>
                    <xdr:row>102</xdr:row>
                    <xdr:rowOff>142875</xdr:rowOff>
                  </from>
                  <to>
                    <xdr:col>5</xdr:col>
                    <xdr:colOff>66675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62" name="Option Button 159">
              <controlPr defaultSize="0" autoFill="0" autoLine="0" autoPict="0">
                <anchor moveWithCells="1">
                  <from>
                    <xdr:col>5</xdr:col>
                    <xdr:colOff>114300</xdr:colOff>
                    <xdr:row>102</xdr:row>
                    <xdr:rowOff>142875</xdr:rowOff>
                  </from>
                  <to>
                    <xdr:col>9</xdr:col>
                    <xdr:colOff>0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63" name="Option Button 160">
              <controlPr defaultSize="0" autoFill="0" autoLine="0" autoPict="0">
                <anchor moveWithCells="1">
                  <from>
                    <xdr:col>9</xdr:col>
                    <xdr:colOff>47625</xdr:colOff>
                    <xdr:row>102</xdr:row>
                    <xdr:rowOff>142875</xdr:rowOff>
                  </from>
                  <to>
                    <xdr:col>12</xdr:col>
                    <xdr:colOff>542925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64" name="Option Button 161">
              <controlPr defaultSize="0" autoFill="0" autoLine="0" autoPict="0">
                <anchor moveWithCells="1">
                  <from>
                    <xdr:col>12</xdr:col>
                    <xdr:colOff>590550</xdr:colOff>
                    <xdr:row>102</xdr:row>
                    <xdr:rowOff>142875</xdr:rowOff>
                  </from>
                  <to>
                    <xdr:col>16</xdr:col>
                    <xdr:colOff>476250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65" name="Option Button 162">
              <controlPr defaultSize="0" autoFill="0" autoLine="0" autoPict="0">
                <anchor moveWithCells="1">
                  <from>
                    <xdr:col>16</xdr:col>
                    <xdr:colOff>523875</xdr:colOff>
                    <xdr:row>102</xdr:row>
                    <xdr:rowOff>142875</xdr:rowOff>
                  </from>
                  <to>
                    <xdr:col>20</xdr:col>
                    <xdr:colOff>409575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66" name="Group Box 163">
              <controlPr defaultSize="0" autoFill="0" autoPict="0">
                <anchor moveWithCells="1">
                  <from>
                    <xdr:col>1</xdr:col>
                    <xdr:colOff>9525</xdr:colOff>
                    <xdr:row>105</xdr:row>
                    <xdr:rowOff>66675</xdr:rowOff>
                  </from>
                  <to>
                    <xdr:col>20</xdr:col>
                    <xdr:colOff>590550</xdr:colOff>
                    <xdr:row>108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67" name="Option Button 164">
              <controlPr defaultSize="0" autoFill="0" autoLine="0" autoPict="0">
                <anchor moveWithCells="1">
                  <from>
                    <xdr:col>1</xdr:col>
                    <xdr:colOff>180975</xdr:colOff>
                    <xdr:row>106</xdr:row>
                    <xdr:rowOff>76200</xdr:rowOff>
                  </from>
                  <to>
                    <xdr:col>5</xdr:col>
                    <xdr:colOff>66675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68" name="Option Button 165">
              <controlPr defaultSize="0" autoFill="0" autoLine="0" autoPict="0">
                <anchor moveWithCells="1">
                  <from>
                    <xdr:col>5</xdr:col>
                    <xdr:colOff>114300</xdr:colOff>
                    <xdr:row>106</xdr:row>
                    <xdr:rowOff>76200</xdr:rowOff>
                  </from>
                  <to>
                    <xdr:col>9</xdr:col>
                    <xdr:colOff>0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69" name="Option Button 166">
              <controlPr defaultSize="0" autoFill="0" autoLine="0" autoPict="0">
                <anchor moveWithCells="1">
                  <from>
                    <xdr:col>9</xdr:col>
                    <xdr:colOff>47625</xdr:colOff>
                    <xdr:row>106</xdr:row>
                    <xdr:rowOff>76200</xdr:rowOff>
                  </from>
                  <to>
                    <xdr:col>12</xdr:col>
                    <xdr:colOff>542925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70" name="Option Button 167">
              <controlPr defaultSize="0" autoFill="0" autoLine="0" autoPict="0">
                <anchor moveWithCells="1">
                  <from>
                    <xdr:col>12</xdr:col>
                    <xdr:colOff>590550</xdr:colOff>
                    <xdr:row>106</xdr:row>
                    <xdr:rowOff>76200</xdr:rowOff>
                  </from>
                  <to>
                    <xdr:col>16</xdr:col>
                    <xdr:colOff>476250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71" name="Option Button 168">
              <controlPr defaultSize="0" autoFill="0" autoLine="0" autoPict="0">
                <anchor moveWithCells="1">
                  <from>
                    <xdr:col>16</xdr:col>
                    <xdr:colOff>523875</xdr:colOff>
                    <xdr:row>106</xdr:row>
                    <xdr:rowOff>76200</xdr:rowOff>
                  </from>
                  <to>
                    <xdr:col>20</xdr:col>
                    <xdr:colOff>409575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72" name="Group Box 169">
              <controlPr defaultSize="0" autoFill="0" autoPict="0">
                <anchor moveWithCells="1">
                  <from>
                    <xdr:col>1</xdr:col>
                    <xdr:colOff>9525</xdr:colOff>
                    <xdr:row>109</xdr:row>
                    <xdr:rowOff>0</xdr:rowOff>
                  </from>
                  <to>
                    <xdr:col>20</xdr:col>
                    <xdr:colOff>590550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73" name="Option Button 170">
              <controlPr defaultSize="0" autoFill="0" autoLine="0" autoPict="0">
                <anchor moveWithCells="1">
                  <from>
                    <xdr:col>1</xdr:col>
                    <xdr:colOff>180975</xdr:colOff>
                    <xdr:row>110</xdr:row>
                    <xdr:rowOff>9525</xdr:rowOff>
                  </from>
                  <to>
                    <xdr:col>5</xdr:col>
                    <xdr:colOff>66675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74" name="Option Button 171">
              <controlPr defaultSize="0" autoFill="0" autoLine="0" autoPict="0">
                <anchor moveWithCells="1">
                  <from>
                    <xdr:col>5</xdr:col>
                    <xdr:colOff>114300</xdr:colOff>
                    <xdr:row>110</xdr:row>
                    <xdr:rowOff>9525</xdr:rowOff>
                  </from>
                  <to>
                    <xdr:col>9</xdr:col>
                    <xdr:colOff>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75" name="Option Button 172">
              <controlPr defaultSize="0" autoFill="0" autoLine="0" autoPict="0">
                <anchor moveWithCells="1">
                  <from>
                    <xdr:col>9</xdr:col>
                    <xdr:colOff>47625</xdr:colOff>
                    <xdr:row>110</xdr:row>
                    <xdr:rowOff>9525</xdr:rowOff>
                  </from>
                  <to>
                    <xdr:col>12</xdr:col>
                    <xdr:colOff>542925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76" name="Option Button 173">
              <controlPr defaultSize="0" autoFill="0" autoLine="0" autoPict="0">
                <anchor moveWithCells="1">
                  <from>
                    <xdr:col>12</xdr:col>
                    <xdr:colOff>590550</xdr:colOff>
                    <xdr:row>110</xdr:row>
                    <xdr:rowOff>9525</xdr:rowOff>
                  </from>
                  <to>
                    <xdr:col>16</xdr:col>
                    <xdr:colOff>476250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77" name="Option Button 174">
              <controlPr defaultSize="0" autoFill="0" autoLine="0" autoPict="0">
                <anchor moveWithCells="1">
                  <from>
                    <xdr:col>16</xdr:col>
                    <xdr:colOff>523875</xdr:colOff>
                    <xdr:row>110</xdr:row>
                    <xdr:rowOff>9525</xdr:rowOff>
                  </from>
                  <to>
                    <xdr:col>20</xdr:col>
                    <xdr:colOff>409575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78" name="Group Box 175">
              <controlPr defaultSize="0" autoFill="0" autoPict="0">
                <anchor moveWithCells="1">
                  <from>
                    <xdr:col>1</xdr:col>
                    <xdr:colOff>9525</xdr:colOff>
                    <xdr:row>112</xdr:row>
                    <xdr:rowOff>123825</xdr:rowOff>
                  </from>
                  <to>
                    <xdr:col>20</xdr:col>
                    <xdr:colOff>590550</xdr:colOff>
                    <xdr:row>115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79" name="Option Button 176">
              <controlPr defaultSize="0" autoFill="0" autoLine="0" autoPict="0">
                <anchor moveWithCells="1">
                  <from>
                    <xdr:col>1</xdr:col>
                    <xdr:colOff>180975</xdr:colOff>
                    <xdr:row>113</xdr:row>
                    <xdr:rowOff>133350</xdr:rowOff>
                  </from>
                  <to>
                    <xdr:col>5</xdr:col>
                    <xdr:colOff>66675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80" name="Option Button 177">
              <controlPr defaultSize="0" autoFill="0" autoLine="0" autoPict="0">
                <anchor moveWithCells="1">
                  <from>
                    <xdr:col>5</xdr:col>
                    <xdr:colOff>114300</xdr:colOff>
                    <xdr:row>113</xdr:row>
                    <xdr:rowOff>133350</xdr:rowOff>
                  </from>
                  <to>
                    <xdr:col>9</xdr:col>
                    <xdr:colOff>0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81" name="Option Button 178">
              <controlPr defaultSize="0" autoFill="0" autoLine="0" autoPict="0">
                <anchor moveWithCells="1">
                  <from>
                    <xdr:col>9</xdr:col>
                    <xdr:colOff>47625</xdr:colOff>
                    <xdr:row>113</xdr:row>
                    <xdr:rowOff>133350</xdr:rowOff>
                  </from>
                  <to>
                    <xdr:col>12</xdr:col>
                    <xdr:colOff>542925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82" name="Option Button 179">
              <controlPr defaultSize="0" autoFill="0" autoLine="0" autoPict="0">
                <anchor moveWithCells="1">
                  <from>
                    <xdr:col>12</xdr:col>
                    <xdr:colOff>590550</xdr:colOff>
                    <xdr:row>113</xdr:row>
                    <xdr:rowOff>133350</xdr:rowOff>
                  </from>
                  <to>
                    <xdr:col>16</xdr:col>
                    <xdr:colOff>476250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83" name="Option Button 180">
              <controlPr defaultSize="0" autoFill="0" autoLine="0" autoPict="0">
                <anchor moveWithCells="1">
                  <from>
                    <xdr:col>16</xdr:col>
                    <xdr:colOff>523875</xdr:colOff>
                    <xdr:row>113</xdr:row>
                    <xdr:rowOff>133350</xdr:rowOff>
                  </from>
                  <to>
                    <xdr:col>20</xdr:col>
                    <xdr:colOff>409575</xdr:colOff>
                    <xdr:row>114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>
    <tabColor theme="9" tint="0.59999389629810485"/>
  </sheetPr>
  <dimension ref="B1:U6"/>
  <sheetViews>
    <sheetView topLeftCell="A94" workbookViewId="0">
      <selection activeCell="B16" sqref="B16:U18"/>
    </sheetView>
  </sheetViews>
  <sheetFormatPr defaultRowHeight="15" customHeight="1" x14ac:dyDescent="0.25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 x14ac:dyDescent="0.25"/>
    <row r="2" spans="2:21" ht="22.5" customHeight="1" x14ac:dyDescent="0.25"/>
    <row r="3" spans="2:21" ht="61.5" customHeight="1" x14ac:dyDescent="0.25">
      <c r="B3" s="106" t="s">
        <v>257</v>
      </c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</row>
    <row r="5" spans="2:21" ht="30" customHeight="1" x14ac:dyDescent="0.25">
      <c r="B5" s="105" t="s">
        <v>48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</row>
    <row r="6" spans="2:21" ht="30" customHeight="1" x14ac:dyDescent="0.25"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</row>
  </sheetData>
  <mergeCells count="2">
    <mergeCell ref="B3:U3"/>
    <mergeCell ref="B5:U6"/>
  </mergeCells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Group Box 1">
              <controlPr defaultSize="0" autoFill="0" autoPict="0">
                <anchor moveWithCells="1">
                  <from>
                    <xdr:col>1</xdr:col>
                    <xdr:colOff>9525</xdr:colOff>
                    <xdr:row>6</xdr:row>
                    <xdr:rowOff>180975</xdr:rowOff>
                  </from>
                  <to>
                    <xdr:col>20</xdr:col>
                    <xdr:colOff>590550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Option Button 2">
              <controlPr defaultSize="0" autoFill="0" autoLine="0" autoPict="0">
                <anchor moveWithCells="1">
                  <from>
                    <xdr:col>1</xdr:col>
                    <xdr:colOff>180975</xdr:colOff>
                    <xdr:row>8</xdr:row>
                    <xdr:rowOff>0</xdr:rowOff>
                  </from>
                  <to>
                    <xdr:col>5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Option Button 3">
              <controlPr defaultSize="0" autoFill="0" autoLine="0" autoPict="0">
                <anchor moveWithCells="1">
                  <from>
                    <xdr:col>5</xdr:col>
                    <xdr:colOff>114300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Option Button 4">
              <controlPr defaultSize="0" autoFill="0" autoLine="0" autoPict="0">
                <anchor moveWithCells="1">
                  <from>
                    <xdr:col>9</xdr:col>
                    <xdr:colOff>47625</xdr:colOff>
                    <xdr:row>8</xdr:row>
                    <xdr:rowOff>0</xdr:rowOff>
                  </from>
                  <to>
                    <xdr:col>12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Option Button 5">
              <controlPr defaultSize="0" autoFill="0" autoLine="0" autoPict="0">
                <anchor moveWithCells="1">
                  <from>
                    <xdr:col>12</xdr:col>
                    <xdr:colOff>590550</xdr:colOff>
                    <xdr:row>8</xdr:row>
                    <xdr:rowOff>0</xdr:rowOff>
                  </from>
                  <to>
                    <xdr:col>16</xdr:col>
                    <xdr:colOff>476250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Option Button 6">
              <controlPr defaultSize="0" autoFill="0" autoLine="0" autoPict="0">
                <anchor moveWithCells="1">
                  <from>
                    <xdr:col>16</xdr:col>
                    <xdr:colOff>523875</xdr:colOff>
                    <xdr:row>8</xdr:row>
                    <xdr:rowOff>0</xdr:rowOff>
                  </from>
                  <to>
                    <xdr:col>20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Group Box 7">
              <controlPr defaultSize="0" autoFill="0" autoPict="0">
                <anchor moveWithCells="1">
                  <from>
                    <xdr:col>1</xdr:col>
                    <xdr:colOff>9525</xdr:colOff>
                    <xdr:row>10</xdr:row>
                    <xdr:rowOff>114300</xdr:rowOff>
                  </from>
                  <to>
                    <xdr:col>20</xdr:col>
                    <xdr:colOff>590550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Option Button 8">
              <controlPr defaultSize="0" autoFill="0" autoLine="0" autoPict="0">
                <anchor moveWithCells="1">
                  <from>
                    <xdr:col>1</xdr:col>
                    <xdr:colOff>180975</xdr:colOff>
                    <xdr:row>11</xdr:row>
                    <xdr:rowOff>123825</xdr:rowOff>
                  </from>
                  <to>
                    <xdr:col>5</xdr:col>
                    <xdr:colOff>66675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Option Button 9">
              <controlPr defaultSize="0" autoFill="0" autoLine="0" autoPict="0">
                <anchor moveWithCells="1">
                  <from>
                    <xdr:col>5</xdr:col>
                    <xdr:colOff>114300</xdr:colOff>
                    <xdr:row>11</xdr:row>
                    <xdr:rowOff>123825</xdr:rowOff>
                  </from>
                  <to>
                    <xdr:col>9</xdr:col>
                    <xdr:colOff>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Option Button 10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123825</xdr:rowOff>
                  </from>
                  <to>
                    <xdr:col>12</xdr:col>
                    <xdr:colOff>542925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Option Button 11">
              <controlPr defaultSize="0" autoFill="0" autoLine="0" autoPict="0">
                <anchor moveWithCells="1">
                  <from>
                    <xdr:col>12</xdr:col>
                    <xdr:colOff>590550</xdr:colOff>
                    <xdr:row>11</xdr:row>
                    <xdr:rowOff>123825</xdr:rowOff>
                  </from>
                  <to>
                    <xdr:col>16</xdr:col>
                    <xdr:colOff>476250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Option Button 12">
              <controlPr defaultSize="0" autoFill="0" autoLine="0" autoPict="0">
                <anchor moveWithCells="1">
                  <from>
                    <xdr:col>16</xdr:col>
                    <xdr:colOff>523875</xdr:colOff>
                    <xdr:row>11</xdr:row>
                    <xdr:rowOff>123825</xdr:rowOff>
                  </from>
                  <to>
                    <xdr:col>20</xdr:col>
                    <xdr:colOff>409575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Group Box 13">
              <controlPr defaultSize="0" autoFill="0" autoPict="0">
                <anchor moveWithCells="1">
                  <from>
                    <xdr:col>1</xdr:col>
                    <xdr:colOff>9525</xdr:colOff>
                    <xdr:row>14</xdr:row>
                    <xdr:rowOff>47625</xdr:rowOff>
                  </from>
                  <to>
                    <xdr:col>20</xdr:col>
                    <xdr:colOff>590550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Option Button 14">
              <controlPr defaultSize="0" autoFill="0" autoLine="0" autoPict="0">
                <anchor moveWithCells="1">
                  <from>
                    <xdr:col>1</xdr:col>
                    <xdr:colOff>180975</xdr:colOff>
                    <xdr:row>15</xdr:row>
                    <xdr:rowOff>57150</xdr:rowOff>
                  </from>
                  <to>
                    <xdr:col>5</xdr:col>
                    <xdr:colOff>66675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Option Button 15">
              <controlPr defaultSize="0" autoFill="0" autoLine="0" autoPict="0">
                <anchor moveWithCells="1">
                  <from>
                    <xdr:col>5</xdr:col>
                    <xdr:colOff>114300</xdr:colOff>
                    <xdr:row>15</xdr:row>
                    <xdr:rowOff>57150</xdr:rowOff>
                  </from>
                  <to>
                    <xdr:col>9</xdr:col>
                    <xdr:colOff>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Option Button 16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57150</xdr:rowOff>
                  </from>
                  <to>
                    <xdr:col>12</xdr:col>
                    <xdr:colOff>542925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Option Button 17">
              <controlPr defaultSize="0" autoFill="0" autoLine="0" autoPict="0">
                <anchor moveWithCells="1">
                  <from>
                    <xdr:col>12</xdr:col>
                    <xdr:colOff>590550</xdr:colOff>
                    <xdr:row>15</xdr:row>
                    <xdr:rowOff>57150</xdr:rowOff>
                  </from>
                  <to>
                    <xdr:col>16</xdr:col>
                    <xdr:colOff>476250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Option Button 18">
              <controlPr defaultSize="0" autoFill="0" autoLine="0" autoPict="0">
                <anchor moveWithCells="1">
                  <from>
                    <xdr:col>16</xdr:col>
                    <xdr:colOff>523875</xdr:colOff>
                    <xdr:row>15</xdr:row>
                    <xdr:rowOff>57150</xdr:rowOff>
                  </from>
                  <to>
                    <xdr:col>20</xdr:col>
                    <xdr:colOff>409575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Group Box 19">
              <controlPr defaultSize="0" autoFill="0" autoPict="0">
                <anchor moveWithCells="1">
                  <from>
                    <xdr:col>1</xdr:col>
                    <xdr:colOff>9525</xdr:colOff>
                    <xdr:row>17</xdr:row>
                    <xdr:rowOff>171450</xdr:rowOff>
                  </from>
                  <to>
                    <xdr:col>20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Option Button 20">
              <controlPr defaultSize="0" autoFill="0" autoLine="0" autoPict="0">
                <anchor moveWithCells="1">
                  <from>
                    <xdr:col>1</xdr:col>
                    <xdr:colOff>180975</xdr:colOff>
                    <xdr:row>18</xdr:row>
                    <xdr:rowOff>180975</xdr:rowOff>
                  </from>
                  <to>
                    <xdr:col>5</xdr:col>
                    <xdr:colOff>66675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Option Button 21">
              <controlPr defaultSize="0" autoFill="0" autoLine="0" autoPict="0">
                <anchor moveWithCells="1">
                  <from>
                    <xdr:col>5</xdr:col>
                    <xdr:colOff>114300</xdr:colOff>
                    <xdr:row>18</xdr:row>
                    <xdr:rowOff>180975</xdr:rowOff>
                  </from>
                  <to>
                    <xdr:col>9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Option Button 22">
              <controlPr defaultSize="0" autoFill="0" autoLine="0" autoPict="0">
                <anchor moveWithCells="1">
                  <from>
                    <xdr:col>9</xdr:col>
                    <xdr:colOff>47625</xdr:colOff>
                    <xdr:row>18</xdr:row>
                    <xdr:rowOff>180975</xdr:rowOff>
                  </from>
                  <to>
                    <xdr:col>12</xdr:col>
                    <xdr:colOff>542925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Option Button 23">
              <controlPr defaultSize="0" autoFill="0" autoLine="0" autoPict="0">
                <anchor moveWithCells="1">
                  <from>
                    <xdr:col>12</xdr:col>
                    <xdr:colOff>590550</xdr:colOff>
                    <xdr:row>18</xdr:row>
                    <xdr:rowOff>180975</xdr:rowOff>
                  </from>
                  <to>
                    <xdr:col>16</xdr:col>
                    <xdr:colOff>476250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Option Button 24">
              <controlPr defaultSize="0" autoFill="0" autoLine="0" autoPict="0">
                <anchor moveWithCells="1">
                  <from>
                    <xdr:col>16</xdr:col>
                    <xdr:colOff>523875</xdr:colOff>
                    <xdr:row>18</xdr:row>
                    <xdr:rowOff>180975</xdr:rowOff>
                  </from>
                  <to>
                    <xdr:col>20</xdr:col>
                    <xdr:colOff>409575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Group Box 25">
              <controlPr defaultSize="0" autoFill="0" autoPict="0">
                <anchor moveWithCells="1">
                  <from>
                    <xdr:col>1</xdr:col>
                    <xdr:colOff>9525</xdr:colOff>
                    <xdr:row>21</xdr:row>
                    <xdr:rowOff>104775</xdr:rowOff>
                  </from>
                  <to>
                    <xdr:col>20</xdr:col>
                    <xdr:colOff>590550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Option Button 26">
              <controlPr defaultSize="0" autoFill="0" autoLine="0" autoPict="0">
                <anchor moveWithCells="1">
                  <from>
                    <xdr:col>1</xdr:col>
                    <xdr:colOff>180975</xdr:colOff>
                    <xdr:row>22</xdr:row>
                    <xdr:rowOff>114300</xdr:rowOff>
                  </from>
                  <to>
                    <xdr:col>5</xdr:col>
                    <xdr:colOff>66675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Option Button 27">
              <controlPr defaultSize="0" autoFill="0" autoLine="0" autoPict="0">
                <anchor moveWithCells="1">
                  <from>
                    <xdr:col>5</xdr:col>
                    <xdr:colOff>114300</xdr:colOff>
                    <xdr:row>22</xdr:row>
                    <xdr:rowOff>114300</xdr:rowOff>
                  </from>
                  <to>
                    <xdr:col>9</xdr:col>
                    <xdr:colOff>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Option Button 28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114300</xdr:rowOff>
                  </from>
                  <to>
                    <xdr:col>12</xdr:col>
                    <xdr:colOff>542925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Option Button 29">
              <controlPr defaultSize="0" autoFill="0" autoLine="0" autoPict="0">
                <anchor moveWithCells="1">
                  <from>
                    <xdr:col>12</xdr:col>
                    <xdr:colOff>590550</xdr:colOff>
                    <xdr:row>22</xdr:row>
                    <xdr:rowOff>114300</xdr:rowOff>
                  </from>
                  <to>
                    <xdr:col>16</xdr:col>
                    <xdr:colOff>476250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Option Button 30">
              <controlPr defaultSize="0" autoFill="0" autoLine="0" autoPict="0">
                <anchor moveWithCells="1">
                  <from>
                    <xdr:col>16</xdr:col>
                    <xdr:colOff>523875</xdr:colOff>
                    <xdr:row>22</xdr:row>
                    <xdr:rowOff>114300</xdr:rowOff>
                  </from>
                  <to>
                    <xdr:col>20</xdr:col>
                    <xdr:colOff>409575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Group Box 31">
              <controlPr defaultSize="0" autoFill="0" autoPict="0">
                <anchor moveWithCells="1">
                  <from>
                    <xdr:col>1</xdr:col>
                    <xdr:colOff>9525</xdr:colOff>
                    <xdr:row>25</xdr:row>
                    <xdr:rowOff>38100</xdr:rowOff>
                  </from>
                  <to>
                    <xdr:col>20</xdr:col>
                    <xdr:colOff>590550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Option Button 32">
              <controlPr defaultSize="0" autoFill="0" autoLine="0" autoPict="0">
                <anchor moveWithCells="1">
                  <from>
                    <xdr:col>1</xdr:col>
                    <xdr:colOff>180975</xdr:colOff>
                    <xdr:row>26</xdr:row>
                    <xdr:rowOff>47625</xdr:rowOff>
                  </from>
                  <to>
                    <xdr:col>5</xdr:col>
                    <xdr:colOff>66675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Option Button 33">
              <controlPr defaultSize="0" autoFill="0" autoLine="0" autoPict="0">
                <anchor moveWithCells="1">
                  <from>
                    <xdr:col>5</xdr:col>
                    <xdr:colOff>114300</xdr:colOff>
                    <xdr:row>26</xdr:row>
                    <xdr:rowOff>47625</xdr:rowOff>
                  </from>
                  <to>
                    <xdr:col>9</xdr:col>
                    <xdr:colOff>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Option Button 34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47625</xdr:rowOff>
                  </from>
                  <to>
                    <xdr:col>12</xdr:col>
                    <xdr:colOff>542925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Option Button 35">
              <controlPr defaultSize="0" autoFill="0" autoLine="0" autoPict="0">
                <anchor moveWithCells="1">
                  <from>
                    <xdr:col>12</xdr:col>
                    <xdr:colOff>590550</xdr:colOff>
                    <xdr:row>26</xdr:row>
                    <xdr:rowOff>47625</xdr:rowOff>
                  </from>
                  <to>
                    <xdr:col>16</xdr:col>
                    <xdr:colOff>476250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Option Button 36">
              <controlPr defaultSize="0" autoFill="0" autoLine="0" autoPict="0">
                <anchor moveWithCells="1">
                  <from>
                    <xdr:col>16</xdr:col>
                    <xdr:colOff>523875</xdr:colOff>
                    <xdr:row>26</xdr:row>
                    <xdr:rowOff>47625</xdr:rowOff>
                  </from>
                  <to>
                    <xdr:col>20</xdr:col>
                    <xdr:colOff>409575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40" name="Group Box 37">
              <controlPr defaultSize="0" autoFill="0" autoPict="0">
                <anchor moveWithCells="1">
                  <from>
                    <xdr:col>1</xdr:col>
                    <xdr:colOff>9525</xdr:colOff>
                    <xdr:row>28</xdr:row>
                    <xdr:rowOff>133350</xdr:rowOff>
                  </from>
                  <to>
                    <xdr:col>20</xdr:col>
                    <xdr:colOff>590550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41" name="Option Button 38">
              <controlPr defaultSize="0" autoFill="0" autoLine="0" autoPict="0">
                <anchor moveWithCells="1">
                  <from>
                    <xdr:col>1</xdr:col>
                    <xdr:colOff>180975</xdr:colOff>
                    <xdr:row>29</xdr:row>
                    <xdr:rowOff>142875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2" name="Option Button 39">
              <controlPr defaultSize="0" autoFill="0" autoLine="0" autoPict="0">
                <anchor moveWithCells="1">
                  <from>
                    <xdr:col>5</xdr:col>
                    <xdr:colOff>114300</xdr:colOff>
                    <xdr:row>29</xdr:row>
                    <xdr:rowOff>142875</xdr:rowOff>
                  </from>
                  <to>
                    <xdr:col>9</xdr:col>
                    <xdr:colOff>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3" name="Option Button 40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142875</xdr:rowOff>
                  </from>
                  <to>
                    <xdr:col>12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4" name="Option Button 41">
              <controlPr defaultSize="0" autoFill="0" autoLine="0" autoPict="0">
                <anchor moveWithCells="1">
                  <from>
                    <xdr:col>12</xdr:col>
                    <xdr:colOff>590550</xdr:colOff>
                    <xdr:row>29</xdr:row>
                    <xdr:rowOff>142875</xdr:rowOff>
                  </from>
                  <to>
                    <xdr:col>16</xdr:col>
                    <xdr:colOff>476250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5" name="Option Button 42">
              <controlPr defaultSize="0" autoFill="0" autoLine="0" autoPict="0">
                <anchor moveWithCells="1">
                  <from>
                    <xdr:col>16</xdr:col>
                    <xdr:colOff>523875</xdr:colOff>
                    <xdr:row>29</xdr:row>
                    <xdr:rowOff>142875</xdr:rowOff>
                  </from>
                  <to>
                    <xdr:col>20</xdr:col>
                    <xdr:colOff>409575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6" name="Group Box 43">
              <controlPr defaultSize="0" autoFill="0" autoPict="0">
                <anchor moveWithCells="1">
                  <from>
                    <xdr:col>1</xdr:col>
                    <xdr:colOff>9525</xdr:colOff>
                    <xdr:row>32</xdr:row>
                    <xdr:rowOff>66675</xdr:rowOff>
                  </from>
                  <to>
                    <xdr:col>20</xdr:col>
                    <xdr:colOff>590550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7" name="Option Button 44">
              <controlPr defaultSize="0" autoFill="0" autoLine="0" autoPict="0">
                <anchor moveWithCells="1">
                  <from>
                    <xdr:col>1</xdr:col>
                    <xdr:colOff>180975</xdr:colOff>
                    <xdr:row>33</xdr:row>
                    <xdr:rowOff>76200</xdr:rowOff>
                  </from>
                  <to>
                    <xdr:col>5</xdr:col>
                    <xdr:colOff>66675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8" name="Option Button 45">
              <controlPr defaultSize="0" autoFill="0" autoLine="0" autoPict="0">
                <anchor moveWithCells="1">
                  <from>
                    <xdr:col>5</xdr:col>
                    <xdr:colOff>114300</xdr:colOff>
                    <xdr:row>33</xdr:row>
                    <xdr:rowOff>76200</xdr:rowOff>
                  </from>
                  <to>
                    <xdr:col>9</xdr:col>
                    <xdr:colOff>0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9" name="Option Button 46">
              <controlPr defaultSize="0" autoFill="0" autoLine="0" autoPict="0">
                <anchor moveWithCells="1">
                  <from>
                    <xdr:col>9</xdr:col>
                    <xdr:colOff>47625</xdr:colOff>
                    <xdr:row>33</xdr:row>
                    <xdr:rowOff>76200</xdr:rowOff>
                  </from>
                  <to>
                    <xdr:col>12</xdr:col>
                    <xdr:colOff>542925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50" name="Option Button 47">
              <controlPr defaultSize="0" autoFill="0" autoLine="0" autoPict="0">
                <anchor moveWithCells="1">
                  <from>
                    <xdr:col>12</xdr:col>
                    <xdr:colOff>590550</xdr:colOff>
                    <xdr:row>33</xdr:row>
                    <xdr:rowOff>76200</xdr:rowOff>
                  </from>
                  <to>
                    <xdr:col>16</xdr:col>
                    <xdr:colOff>476250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51" name="Option Button 48">
              <controlPr defaultSize="0" autoFill="0" autoLine="0" autoPict="0">
                <anchor moveWithCells="1">
                  <from>
                    <xdr:col>16</xdr:col>
                    <xdr:colOff>523875</xdr:colOff>
                    <xdr:row>33</xdr:row>
                    <xdr:rowOff>76200</xdr:rowOff>
                  </from>
                  <to>
                    <xdr:col>20</xdr:col>
                    <xdr:colOff>409575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2" name="Group Box 49">
              <controlPr defaultSize="0" autoFill="0" autoPict="0">
                <anchor moveWithCells="1">
                  <from>
                    <xdr:col>1</xdr:col>
                    <xdr:colOff>9525</xdr:colOff>
                    <xdr:row>36</xdr:row>
                    <xdr:rowOff>0</xdr:rowOff>
                  </from>
                  <to>
                    <xdr:col>20</xdr:col>
                    <xdr:colOff>590550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3" name="Option Button 50">
              <controlPr defaultSize="0" autoFill="0" autoLine="0" autoPict="0">
                <anchor moveWithCells="1">
                  <from>
                    <xdr:col>1</xdr:col>
                    <xdr:colOff>180975</xdr:colOff>
                    <xdr:row>37</xdr:row>
                    <xdr:rowOff>9525</xdr:rowOff>
                  </from>
                  <to>
                    <xdr:col>5</xdr:col>
                    <xdr:colOff>66675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4" name="Option Button 51">
              <controlPr defaultSize="0" autoFill="0" autoLine="0" autoPict="0">
                <anchor moveWithCells="1">
                  <from>
                    <xdr:col>5</xdr:col>
                    <xdr:colOff>114300</xdr:colOff>
                    <xdr:row>37</xdr:row>
                    <xdr:rowOff>9525</xdr:rowOff>
                  </from>
                  <to>
                    <xdr:col>9</xdr:col>
                    <xdr:colOff>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5" name="Option Button 52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9525</xdr:rowOff>
                  </from>
                  <to>
                    <xdr:col>12</xdr:col>
                    <xdr:colOff>542925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6" name="Option Button 53">
              <controlPr defaultSize="0" autoFill="0" autoLine="0" autoPict="0">
                <anchor moveWithCells="1">
                  <from>
                    <xdr:col>12</xdr:col>
                    <xdr:colOff>590550</xdr:colOff>
                    <xdr:row>37</xdr:row>
                    <xdr:rowOff>9525</xdr:rowOff>
                  </from>
                  <to>
                    <xdr:col>16</xdr:col>
                    <xdr:colOff>476250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7" name="Option Button 54">
              <controlPr defaultSize="0" autoFill="0" autoLine="0" autoPict="0">
                <anchor moveWithCells="1">
                  <from>
                    <xdr:col>16</xdr:col>
                    <xdr:colOff>523875</xdr:colOff>
                    <xdr:row>37</xdr:row>
                    <xdr:rowOff>9525</xdr:rowOff>
                  </from>
                  <to>
                    <xdr:col>20</xdr:col>
                    <xdr:colOff>409575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8" name="Group Box 55">
              <controlPr defaultSize="0" autoFill="0" autoPict="0">
                <anchor moveWithCells="1">
                  <from>
                    <xdr:col>1</xdr:col>
                    <xdr:colOff>9525</xdr:colOff>
                    <xdr:row>39</xdr:row>
                    <xdr:rowOff>123825</xdr:rowOff>
                  </from>
                  <to>
                    <xdr:col>20</xdr:col>
                    <xdr:colOff>590550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9" name="Option Button 56">
              <controlPr defaultSize="0" autoFill="0" autoLine="0" autoPict="0">
                <anchor moveWithCells="1">
                  <from>
                    <xdr:col>1</xdr:col>
                    <xdr:colOff>180975</xdr:colOff>
                    <xdr:row>40</xdr:row>
                    <xdr:rowOff>133350</xdr:rowOff>
                  </from>
                  <to>
                    <xdr:col>5</xdr:col>
                    <xdr:colOff>66675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60" name="Option Button 57">
              <controlPr defaultSize="0" autoFill="0" autoLine="0" autoPict="0">
                <anchor moveWithCells="1">
                  <from>
                    <xdr:col>5</xdr:col>
                    <xdr:colOff>114300</xdr:colOff>
                    <xdr:row>40</xdr:row>
                    <xdr:rowOff>133350</xdr:rowOff>
                  </from>
                  <to>
                    <xdr:col>9</xdr:col>
                    <xdr:colOff>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61" name="Option Button 58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133350</xdr:rowOff>
                  </from>
                  <to>
                    <xdr:col>12</xdr:col>
                    <xdr:colOff>542925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2" name="Option Button 59">
              <controlPr defaultSize="0" autoFill="0" autoLine="0" autoPict="0">
                <anchor moveWithCells="1">
                  <from>
                    <xdr:col>12</xdr:col>
                    <xdr:colOff>590550</xdr:colOff>
                    <xdr:row>40</xdr:row>
                    <xdr:rowOff>133350</xdr:rowOff>
                  </from>
                  <to>
                    <xdr:col>16</xdr:col>
                    <xdr:colOff>476250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3" name="Option Button 60">
              <controlPr defaultSize="0" autoFill="0" autoLine="0" autoPict="0">
                <anchor moveWithCells="1">
                  <from>
                    <xdr:col>16</xdr:col>
                    <xdr:colOff>523875</xdr:colOff>
                    <xdr:row>40</xdr:row>
                    <xdr:rowOff>133350</xdr:rowOff>
                  </from>
                  <to>
                    <xdr:col>20</xdr:col>
                    <xdr:colOff>409575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4" name="Group Box 61">
              <controlPr defaultSize="0" autoFill="0" autoPict="0">
                <anchor moveWithCells="1">
                  <from>
                    <xdr:col>1</xdr:col>
                    <xdr:colOff>9525</xdr:colOff>
                    <xdr:row>43</xdr:row>
                    <xdr:rowOff>57150</xdr:rowOff>
                  </from>
                  <to>
                    <xdr:col>20</xdr:col>
                    <xdr:colOff>590550</xdr:colOff>
                    <xdr:row>46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5" name="Option Button 62">
              <controlPr defaultSize="0" autoFill="0" autoLine="0" autoPict="0">
                <anchor moveWithCells="1">
                  <from>
                    <xdr:col>1</xdr:col>
                    <xdr:colOff>180975</xdr:colOff>
                    <xdr:row>44</xdr:row>
                    <xdr:rowOff>66675</xdr:rowOff>
                  </from>
                  <to>
                    <xdr:col>5</xdr:col>
                    <xdr:colOff>66675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6" name="Option Button 63">
              <controlPr defaultSize="0" autoFill="0" autoLine="0" autoPict="0">
                <anchor moveWithCells="1">
                  <from>
                    <xdr:col>5</xdr:col>
                    <xdr:colOff>114300</xdr:colOff>
                    <xdr:row>44</xdr:row>
                    <xdr:rowOff>66675</xdr:rowOff>
                  </from>
                  <to>
                    <xdr:col>9</xdr:col>
                    <xdr:colOff>0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7" name="Option Button 64">
              <controlPr defaultSize="0" autoFill="0" autoLine="0" autoPict="0">
                <anchor moveWithCells="1">
                  <from>
                    <xdr:col>9</xdr:col>
                    <xdr:colOff>47625</xdr:colOff>
                    <xdr:row>44</xdr:row>
                    <xdr:rowOff>66675</xdr:rowOff>
                  </from>
                  <to>
                    <xdr:col>12</xdr:col>
                    <xdr:colOff>542925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8" name="Option Button 65">
              <controlPr defaultSize="0" autoFill="0" autoLine="0" autoPict="0">
                <anchor moveWithCells="1">
                  <from>
                    <xdr:col>12</xdr:col>
                    <xdr:colOff>590550</xdr:colOff>
                    <xdr:row>44</xdr:row>
                    <xdr:rowOff>66675</xdr:rowOff>
                  </from>
                  <to>
                    <xdr:col>16</xdr:col>
                    <xdr:colOff>476250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9" name="Option Button 66">
              <controlPr defaultSize="0" autoFill="0" autoLine="0" autoPict="0">
                <anchor moveWithCells="1">
                  <from>
                    <xdr:col>16</xdr:col>
                    <xdr:colOff>523875</xdr:colOff>
                    <xdr:row>44</xdr:row>
                    <xdr:rowOff>66675</xdr:rowOff>
                  </from>
                  <to>
                    <xdr:col>20</xdr:col>
                    <xdr:colOff>409575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70" name="Group Box 67">
              <controlPr defaultSize="0" autoFill="0" autoPict="0">
                <anchor moveWithCells="1">
                  <from>
                    <xdr:col>1</xdr:col>
                    <xdr:colOff>9525</xdr:colOff>
                    <xdr:row>46</xdr:row>
                    <xdr:rowOff>180975</xdr:rowOff>
                  </from>
                  <to>
                    <xdr:col>20</xdr:col>
                    <xdr:colOff>590550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71" name="Option Button 68">
              <controlPr defaultSize="0" autoFill="0" autoLine="0" autoPict="0">
                <anchor moveWithCells="1">
                  <from>
                    <xdr:col>1</xdr:col>
                    <xdr:colOff>180975</xdr:colOff>
                    <xdr:row>48</xdr:row>
                    <xdr:rowOff>0</xdr:rowOff>
                  </from>
                  <to>
                    <xdr:col>5</xdr:col>
                    <xdr:colOff>66675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72" name="Option Button 69">
              <controlPr defaultSize="0" autoFill="0" autoLine="0" autoPict="0">
                <anchor moveWithCells="1">
                  <from>
                    <xdr:col>5</xdr:col>
                    <xdr:colOff>114300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73" name="Option Button 70">
              <controlPr defaultSize="0" autoFill="0" autoLine="0" autoPict="0">
                <anchor moveWithCells="1">
                  <from>
                    <xdr:col>9</xdr:col>
                    <xdr:colOff>47625</xdr:colOff>
                    <xdr:row>48</xdr:row>
                    <xdr:rowOff>0</xdr:rowOff>
                  </from>
                  <to>
                    <xdr:col>12</xdr:col>
                    <xdr:colOff>542925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4" name="Option Button 71">
              <controlPr defaultSize="0" autoFill="0" autoLine="0" autoPict="0">
                <anchor moveWithCells="1">
                  <from>
                    <xdr:col>12</xdr:col>
                    <xdr:colOff>590550</xdr:colOff>
                    <xdr:row>48</xdr:row>
                    <xdr:rowOff>0</xdr:rowOff>
                  </from>
                  <to>
                    <xdr:col>16</xdr:col>
                    <xdr:colOff>476250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75" name="Option Button 72">
              <controlPr defaultSize="0" autoFill="0" autoLine="0" autoPict="0">
                <anchor moveWithCells="1">
                  <from>
                    <xdr:col>16</xdr:col>
                    <xdr:colOff>523875</xdr:colOff>
                    <xdr:row>48</xdr:row>
                    <xdr:rowOff>0</xdr:rowOff>
                  </from>
                  <to>
                    <xdr:col>20</xdr:col>
                    <xdr:colOff>409575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76" name="Group Box 73">
              <controlPr defaultSize="0" autoFill="0" autoPict="0">
                <anchor moveWithCells="1">
                  <from>
                    <xdr:col>1</xdr:col>
                    <xdr:colOff>9525</xdr:colOff>
                    <xdr:row>50</xdr:row>
                    <xdr:rowOff>114300</xdr:rowOff>
                  </from>
                  <to>
                    <xdr:col>20</xdr:col>
                    <xdr:colOff>590550</xdr:colOff>
                    <xdr:row>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77" name="Option Button 74">
              <controlPr defaultSize="0" autoFill="0" autoLine="0" autoPict="0">
                <anchor moveWithCells="1">
                  <from>
                    <xdr:col>1</xdr:col>
                    <xdr:colOff>180975</xdr:colOff>
                    <xdr:row>51</xdr:row>
                    <xdr:rowOff>123825</xdr:rowOff>
                  </from>
                  <to>
                    <xdr:col>5</xdr:col>
                    <xdr:colOff>66675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78" name="Option Button 75">
              <controlPr defaultSize="0" autoFill="0" autoLine="0" autoPict="0">
                <anchor moveWithCells="1">
                  <from>
                    <xdr:col>5</xdr:col>
                    <xdr:colOff>114300</xdr:colOff>
                    <xdr:row>51</xdr:row>
                    <xdr:rowOff>123825</xdr:rowOff>
                  </from>
                  <to>
                    <xdr:col>9</xdr:col>
                    <xdr:colOff>0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79" name="Option Button 76">
              <controlPr defaultSize="0" autoFill="0" autoLine="0" autoPict="0">
                <anchor moveWithCells="1">
                  <from>
                    <xdr:col>9</xdr:col>
                    <xdr:colOff>47625</xdr:colOff>
                    <xdr:row>51</xdr:row>
                    <xdr:rowOff>123825</xdr:rowOff>
                  </from>
                  <to>
                    <xdr:col>12</xdr:col>
                    <xdr:colOff>542925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80" name="Option Button 77">
              <controlPr defaultSize="0" autoFill="0" autoLine="0" autoPict="0">
                <anchor moveWithCells="1">
                  <from>
                    <xdr:col>12</xdr:col>
                    <xdr:colOff>590550</xdr:colOff>
                    <xdr:row>51</xdr:row>
                    <xdr:rowOff>123825</xdr:rowOff>
                  </from>
                  <to>
                    <xdr:col>16</xdr:col>
                    <xdr:colOff>476250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81" name="Option Button 78">
              <controlPr defaultSize="0" autoFill="0" autoLine="0" autoPict="0">
                <anchor moveWithCells="1">
                  <from>
                    <xdr:col>16</xdr:col>
                    <xdr:colOff>523875</xdr:colOff>
                    <xdr:row>51</xdr:row>
                    <xdr:rowOff>123825</xdr:rowOff>
                  </from>
                  <to>
                    <xdr:col>20</xdr:col>
                    <xdr:colOff>409575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82" name="Group Box 79">
              <controlPr defaultSize="0" autoFill="0" autoPict="0">
                <anchor moveWithCells="1">
                  <from>
                    <xdr:col>1</xdr:col>
                    <xdr:colOff>9525</xdr:colOff>
                    <xdr:row>54</xdr:row>
                    <xdr:rowOff>47625</xdr:rowOff>
                  </from>
                  <to>
                    <xdr:col>20</xdr:col>
                    <xdr:colOff>590550</xdr:colOff>
                    <xdr:row>57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83" name="Option Button 80">
              <controlPr defaultSize="0" autoFill="0" autoLine="0" autoPict="0">
                <anchor moveWithCells="1">
                  <from>
                    <xdr:col>1</xdr:col>
                    <xdr:colOff>180975</xdr:colOff>
                    <xdr:row>55</xdr:row>
                    <xdr:rowOff>57150</xdr:rowOff>
                  </from>
                  <to>
                    <xdr:col>5</xdr:col>
                    <xdr:colOff>66675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84" name="Option Button 81">
              <controlPr defaultSize="0" autoFill="0" autoLine="0" autoPict="0">
                <anchor moveWithCells="1">
                  <from>
                    <xdr:col>5</xdr:col>
                    <xdr:colOff>114300</xdr:colOff>
                    <xdr:row>55</xdr:row>
                    <xdr:rowOff>57150</xdr:rowOff>
                  </from>
                  <to>
                    <xdr:col>9</xdr:col>
                    <xdr:colOff>0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85" name="Option Button 82">
              <controlPr defaultSize="0" autoFill="0" autoLine="0" autoPict="0">
                <anchor moveWithCells="1">
                  <from>
                    <xdr:col>9</xdr:col>
                    <xdr:colOff>47625</xdr:colOff>
                    <xdr:row>55</xdr:row>
                    <xdr:rowOff>57150</xdr:rowOff>
                  </from>
                  <to>
                    <xdr:col>12</xdr:col>
                    <xdr:colOff>542925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86" name="Option Button 83">
              <controlPr defaultSize="0" autoFill="0" autoLine="0" autoPict="0">
                <anchor moveWithCells="1">
                  <from>
                    <xdr:col>12</xdr:col>
                    <xdr:colOff>590550</xdr:colOff>
                    <xdr:row>55</xdr:row>
                    <xdr:rowOff>57150</xdr:rowOff>
                  </from>
                  <to>
                    <xdr:col>16</xdr:col>
                    <xdr:colOff>476250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87" name="Option Button 84">
              <controlPr defaultSize="0" autoFill="0" autoLine="0" autoPict="0">
                <anchor moveWithCells="1">
                  <from>
                    <xdr:col>16</xdr:col>
                    <xdr:colOff>523875</xdr:colOff>
                    <xdr:row>55</xdr:row>
                    <xdr:rowOff>57150</xdr:rowOff>
                  </from>
                  <to>
                    <xdr:col>20</xdr:col>
                    <xdr:colOff>409575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88" name="Group Box 85">
              <controlPr defaultSize="0" autoFill="0" autoPict="0">
                <anchor moveWithCells="1">
                  <from>
                    <xdr:col>1</xdr:col>
                    <xdr:colOff>9525</xdr:colOff>
                    <xdr:row>57</xdr:row>
                    <xdr:rowOff>171450</xdr:rowOff>
                  </from>
                  <to>
                    <xdr:col>20</xdr:col>
                    <xdr:colOff>590550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89" name="Option Button 86">
              <controlPr defaultSize="0" autoFill="0" autoLine="0" autoPict="0">
                <anchor moveWithCells="1">
                  <from>
                    <xdr:col>1</xdr:col>
                    <xdr:colOff>180975</xdr:colOff>
                    <xdr:row>58</xdr:row>
                    <xdr:rowOff>180975</xdr:rowOff>
                  </from>
                  <to>
                    <xdr:col>5</xdr:col>
                    <xdr:colOff>66675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90" name="Option Button 87">
              <controlPr defaultSize="0" autoFill="0" autoLine="0" autoPict="0">
                <anchor moveWithCells="1">
                  <from>
                    <xdr:col>5</xdr:col>
                    <xdr:colOff>114300</xdr:colOff>
                    <xdr:row>58</xdr:row>
                    <xdr:rowOff>180975</xdr:rowOff>
                  </from>
                  <to>
                    <xdr:col>9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91" name="Option Button 88">
              <controlPr defaultSize="0" autoFill="0" autoLine="0" autoPict="0">
                <anchor moveWithCells="1">
                  <from>
                    <xdr:col>9</xdr:col>
                    <xdr:colOff>47625</xdr:colOff>
                    <xdr:row>58</xdr:row>
                    <xdr:rowOff>180975</xdr:rowOff>
                  </from>
                  <to>
                    <xdr:col>12</xdr:col>
                    <xdr:colOff>542925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92" name="Option Button 89">
              <controlPr defaultSize="0" autoFill="0" autoLine="0" autoPict="0">
                <anchor moveWithCells="1">
                  <from>
                    <xdr:col>12</xdr:col>
                    <xdr:colOff>590550</xdr:colOff>
                    <xdr:row>58</xdr:row>
                    <xdr:rowOff>180975</xdr:rowOff>
                  </from>
                  <to>
                    <xdr:col>16</xdr:col>
                    <xdr:colOff>476250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93" name="Option Button 90">
              <controlPr defaultSize="0" autoFill="0" autoLine="0" autoPict="0">
                <anchor moveWithCells="1">
                  <from>
                    <xdr:col>16</xdr:col>
                    <xdr:colOff>523875</xdr:colOff>
                    <xdr:row>58</xdr:row>
                    <xdr:rowOff>180975</xdr:rowOff>
                  </from>
                  <to>
                    <xdr:col>20</xdr:col>
                    <xdr:colOff>409575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94" name="Group Box 91">
              <controlPr defaultSize="0" autoFill="0" autoPict="0">
                <anchor moveWithCells="1">
                  <from>
                    <xdr:col>1</xdr:col>
                    <xdr:colOff>9525</xdr:colOff>
                    <xdr:row>61</xdr:row>
                    <xdr:rowOff>104775</xdr:rowOff>
                  </from>
                  <to>
                    <xdr:col>20</xdr:col>
                    <xdr:colOff>590550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95" name="Option Button 92">
              <controlPr defaultSize="0" autoFill="0" autoLine="0" autoPict="0">
                <anchor moveWithCells="1">
                  <from>
                    <xdr:col>1</xdr:col>
                    <xdr:colOff>180975</xdr:colOff>
                    <xdr:row>62</xdr:row>
                    <xdr:rowOff>114300</xdr:rowOff>
                  </from>
                  <to>
                    <xdr:col>5</xdr:col>
                    <xdr:colOff>66675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96" name="Option Button 93">
              <controlPr defaultSize="0" autoFill="0" autoLine="0" autoPict="0">
                <anchor moveWithCells="1">
                  <from>
                    <xdr:col>5</xdr:col>
                    <xdr:colOff>114300</xdr:colOff>
                    <xdr:row>62</xdr:row>
                    <xdr:rowOff>114300</xdr:rowOff>
                  </from>
                  <to>
                    <xdr:col>9</xdr:col>
                    <xdr:colOff>0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97" name="Option Button 94">
              <controlPr defaultSize="0" autoFill="0" autoLine="0" autoPict="0">
                <anchor moveWithCells="1">
                  <from>
                    <xdr:col>9</xdr:col>
                    <xdr:colOff>47625</xdr:colOff>
                    <xdr:row>62</xdr:row>
                    <xdr:rowOff>114300</xdr:rowOff>
                  </from>
                  <to>
                    <xdr:col>12</xdr:col>
                    <xdr:colOff>542925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98" name="Option Button 95">
              <controlPr defaultSize="0" autoFill="0" autoLine="0" autoPict="0">
                <anchor moveWithCells="1">
                  <from>
                    <xdr:col>12</xdr:col>
                    <xdr:colOff>590550</xdr:colOff>
                    <xdr:row>62</xdr:row>
                    <xdr:rowOff>114300</xdr:rowOff>
                  </from>
                  <to>
                    <xdr:col>16</xdr:col>
                    <xdr:colOff>476250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99" name="Option Button 96">
              <controlPr defaultSize="0" autoFill="0" autoLine="0" autoPict="0">
                <anchor moveWithCells="1">
                  <from>
                    <xdr:col>16</xdr:col>
                    <xdr:colOff>523875</xdr:colOff>
                    <xdr:row>62</xdr:row>
                    <xdr:rowOff>114300</xdr:rowOff>
                  </from>
                  <to>
                    <xdr:col>20</xdr:col>
                    <xdr:colOff>409575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100" name="Group Box 97">
              <controlPr defaultSize="0" autoFill="0" autoPict="0">
                <anchor moveWithCells="1">
                  <from>
                    <xdr:col>1</xdr:col>
                    <xdr:colOff>9525</xdr:colOff>
                    <xdr:row>65</xdr:row>
                    <xdr:rowOff>38100</xdr:rowOff>
                  </from>
                  <to>
                    <xdr:col>20</xdr:col>
                    <xdr:colOff>590550</xdr:colOff>
                    <xdr:row>68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101" name="Option Button 98">
              <controlPr defaultSize="0" autoFill="0" autoLine="0" autoPict="0">
                <anchor moveWithCells="1">
                  <from>
                    <xdr:col>1</xdr:col>
                    <xdr:colOff>180975</xdr:colOff>
                    <xdr:row>66</xdr:row>
                    <xdr:rowOff>47625</xdr:rowOff>
                  </from>
                  <to>
                    <xdr:col>5</xdr:col>
                    <xdr:colOff>66675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102" name="Option Button 99">
              <controlPr defaultSize="0" autoFill="0" autoLine="0" autoPict="0">
                <anchor moveWithCells="1">
                  <from>
                    <xdr:col>5</xdr:col>
                    <xdr:colOff>114300</xdr:colOff>
                    <xdr:row>66</xdr:row>
                    <xdr:rowOff>47625</xdr:rowOff>
                  </from>
                  <to>
                    <xdr:col>9</xdr:col>
                    <xdr:colOff>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103" name="Option Button 100">
              <controlPr defaultSize="0" autoFill="0" autoLine="0" autoPict="0">
                <anchor moveWithCells="1">
                  <from>
                    <xdr:col>9</xdr:col>
                    <xdr:colOff>47625</xdr:colOff>
                    <xdr:row>66</xdr:row>
                    <xdr:rowOff>47625</xdr:rowOff>
                  </from>
                  <to>
                    <xdr:col>12</xdr:col>
                    <xdr:colOff>542925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104" name="Option Button 101">
              <controlPr defaultSize="0" autoFill="0" autoLine="0" autoPict="0">
                <anchor moveWithCells="1">
                  <from>
                    <xdr:col>12</xdr:col>
                    <xdr:colOff>590550</xdr:colOff>
                    <xdr:row>66</xdr:row>
                    <xdr:rowOff>47625</xdr:rowOff>
                  </from>
                  <to>
                    <xdr:col>16</xdr:col>
                    <xdr:colOff>476250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05" name="Option Button 102">
              <controlPr defaultSize="0" autoFill="0" autoLine="0" autoPict="0">
                <anchor moveWithCells="1">
                  <from>
                    <xdr:col>16</xdr:col>
                    <xdr:colOff>523875</xdr:colOff>
                    <xdr:row>66</xdr:row>
                    <xdr:rowOff>47625</xdr:rowOff>
                  </from>
                  <to>
                    <xdr:col>20</xdr:col>
                    <xdr:colOff>409575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106" name="Group Box 103">
              <controlPr defaultSize="0" autoFill="0" autoPict="0">
                <anchor moveWithCells="1">
                  <from>
                    <xdr:col>1</xdr:col>
                    <xdr:colOff>9525</xdr:colOff>
                    <xdr:row>68</xdr:row>
                    <xdr:rowOff>161925</xdr:rowOff>
                  </from>
                  <to>
                    <xdr:col>20</xdr:col>
                    <xdr:colOff>590550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07" name="Option Button 104">
              <controlPr defaultSize="0" autoFill="0" autoLine="0" autoPict="0">
                <anchor moveWithCells="1">
                  <from>
                    <xdr:col>1</xdr:col>
                    <xdr:colOff>180975</xdr:colOff>
                    <xdr:row>69</xdr:row>
                    <xdr:rowOff>171450</xdr:rowOff>
                  </from>
                  <to>
                    <xdr:col>5</xdr:col>
                    <xdr:colOff>66675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108" name="Option Button 105">
              <controlPr defaultSize="0" autoFill="0" autoLine="0" autoPict="0">
                <anchor moveWithCells="1">
                  <from>
                    <xdr:col>5</xdr:col>
                    <xdr:colOff>114300</xdr:colOff>
                    <xdr:row>69</xdr:row>
                    <xdr:rowOff>171450</xdr:rowOff>
                  </from>
                  <to>
                    <xdr:col>9</xdr:col>
                    <xdr:colOff>0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109" name="Option Button 106">
              <controlPr defaultSize="0" autoFill="0" autoLine="0" autoPict="0">
                <anchor moveWithCells="1">
                  <from>
                    <xdr:col>9</xdr:col>
                    <xdr:colOff>47625</xdr:colOff>
                    <xdr:row>69</xdr:row>
                    <xdr:rowOff>171450</xdr:rowOff>
                  </from>
                  <to>
                    <xdr:col>12</xdr:col>
                    <xdr:colOff>542925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110" name="Option Button 107">
              <controlPr defaultSize="0" autoFill="0" autoLine="0" autoPict="0">
                <anchor moveWithCells="1">
                  <from>
                    <xdr:col>12</xdr:col>
                    <xdr:colOff>590550</xdr:colOff>
                    <xdr:row>69</xdr:row>
                    <xdr:rowOff>171450</xdr:rowOff>
                  </from>
                  <to>
                    <xdr:col>16</xdr:col>
                    <xdr:colOff>476250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111" name="Option Button 108">
              <controlPr defaultSize="0" autoFill="0" autoLine="0" autoPict="0">
                <anchor moveWithCells="1">
                  <from>
                    <xdr:col>16</xdr:col>
                    <xdr:colOff>523875</xdr:colOff>
                    <xdr:row>69</xdr:row>
                    <xdr:rowOff>171450</xdr:rowOff>
                  </from>
                  <to>
                    <xdr:col>20</xdr:col>
                    <xdr:colOff>409575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112" name="Group Box 109">
              <controlPr defaultSize="0" autoFill="0" autoPict="0">
                <anchor moveWithCells="1">
                  <from>
                    <xdr:col>1</xdr:col>
                    <xdr:colOff>9525</xdr:colOff>
                    <xdr:row>72</xdr:row>
                    <xdr:rowOff>95250</xdr:rowOff>
                  </from>
                  <to>
                    <xdr:col>20</xdr:col>
                    <xdr:colOff>590550</xdr:colOff>
                    <xdr:row>75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13" name="Option Button 110">
              <controlPr defaultSize="0" autoFill="0" autoLine="0" autoPict="0">
                <anchor moveWithCells="1">
                  <from>
                    <xdr:col>1</xdr:col>
                    <xdr:colOff>180975</xdr:colOff>
                    <xdr:row>73</xdr:row>
                    <xdr:rowOff>104775</xdr:rowOff>
                  </from>
                  <to>
                    <xdr:col>5</xdr:col>
                    <xdr:colOff>66675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114" name="Option Button 111">
              <controlPr defaultSize="0" autoFill="0" autoLine="0" autoPict="0">
                <anchor moveWithCells="1">
                  <from>
                    <xdr:col>5</xdr:col>
                    <xdr:colOff>114300</xdr:colOff>
                    <xdr:row>73</xdr:row>
                    <xdr:rowOff>104775</xdr:rowOff>
                  </from>
                  <to>
                    <xdr:col>9</xdr:col>
                    <xdr:colOff>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115" name="Option Button 112">
              <controlPr defaultSize="0" autoFill="0" autoLine="0" autoPict="0">
                <anchor moveWithCells="1">
                  <from>
                    <xdr:col>9</xdr:col>
                    <xdr:colOff>47625</xdr:colOff>
                    <xdr:row>73</xdr:row>
                    <xdr:rowOff>104775</xdr:rowOff>
                  </from>
                  <to>
                    <xdr:col>12</xdr:col>
                    <xdr:colOff>542925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116" name="Option Button 113">
              <controlPr defaultSize="0" autoFill="0" autoLine="0" autoPict="0">
                <anchor moveWithCells="1">
                  <from>
                    <xdr:col>12</xdr:col>
                    <xdr:colOff>590550</xdr:colOff>
                    <xdr:row>73</xdr:row>
                    <xdr:rowOff>104775</xdr:rowOff>
                  </from>
                  <to>
                    <xdr:col>16</xdr:col>
                    <xdr:colOff>476250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117" name="Option Button 114">
              <controlPr defaultSize="0" autoFill="0" autoLine="0" autoPict="0">
                <anchor moveWithCells="1">
                  <from>
                    <xdr:col>16</xdr:col>
                    <xdr:colOff>523875</xdr:colOff>
                    <xdr:row>73</xdr:row>
                    <xdr:rowOff>104775</xdr:rowOff>
                  </from>
                  <to>
                    <xdr:col>20</xdr:col>
                    <xdr:colOff>409575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118" name="Group Box 115">
              <controlPr defaultSize="0" autoFill="0" autoPict="0">
                <anchor moveWithCells="1">
                  <from>
                    <xdr:col>1</xdr:col>
                    <xdr:colOff>9525</xdr:colOff>
                    <xdr:row>76</xdr:row>
                    <xdr:rowOff>28575</xdr:rowOff>
                  </from>
                  <to>
                    <xdr:col>20</xdr:col>
                    <xdr:colOff>590550</xdr:colOff>
                    <xdr:row>79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119" name="Option Button 116">
              <controlPr defaultSize="0" autoFill="0" autoLine="0" autoPict="0">
                <anchor moveWithCells="1">
                  <from>
                    <xdr:col>1</xdr:col>
                    <xdr:colOff>180975</xdr:colOff>
                    <xdr:row>77</xdr:row>
                    <xdr:rowOff>38100</xdr:rowOff>
                  </from>
                  <to>
                    <xdr:col>5</xdr:col>
                    <xdr:colOff>66675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120" name="Option Button 117">
              <controlPr defaultSize="0" autoFill="0" autoLine="0" autoPict="0">
                <anchor moveWithCells="1">
                  <from>
                    <xdr:col>5</xdr:col>
                    <xdr:colOff>114300</xdr:colOff>
                    <xdr:row>77</xdr:row>
                    <xdr:rowOff>38100</xdr:rowOff>
                  </from>
                  <to>
                    <xdr:col>9</xdr:col>
                    <xdr:colOff>0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121" name="Option Button 118">
              <controlPr defaultSize="0" autoFill="0" autoLine="0" autoPict="0">
                <anchor moveWithCells="1">
                  <from>
                    <xdr:col>9</xdr:col>
                    <xdr:colOff>47625</xdr:colOff>
                    <xdr:row>77</xdr:row>
                    <xdr:rowOff>38100</xdr:rowOff>
                  </from>
                  <to>
                    <xdr:col>12</xdr:col>
                    <xdr:colOff>542925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122" name="Option Button 119">
              <controlPr defaultSize="0" autoFill="0" autoLine="0" autoPict="0">
                <anchor moveWithCells="1">
                  <from>
                    <xdr:col>12</xdr:col>
                    <xdr:colOff>590550</xdr:colOff>
                    <xdr:row>77</xdr:row>
                    <xdr:rowOff>38100</xdr:rowOff>
                  </from>
                  <to>
                    <xdr:col>16</xdr:col>
                    <xdr:colOff>476250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123" name="Option Button 120">
              <controlPr defaultSize="0" autoFill="0" autoLine="0" autoPict="0">
                <anchor moveWithCells="1">
                  <from>
                    <xdr:col>16</xdr:col>
                    <xdr:colOff>523875</xdr:colOff>
                    <xdr:row>77</xdr:row>
                    <xdr:rowOff>38100</xdr:rowOff>
                  </from>
                  <to>
                    <xdr:col>20</xdr:col>
                    <xdr:colOff>409575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124" name="Group Box 121">
              <controlPr defaultSize="0" autoFill="0" autoPict="0">
                <anchor moveWithCells="1">
                  <from>
                    <xdr:col>1</xdr:col>
                    <xdr:colOff>9525</xdr:colOff>
                    <xdr:row>79</xdr:row>
                    <xdr:rowOff>152400</xdr:rowOff>
                  </from>
                  <to>
                    <xdr:col>20</xdr:col>
                    <xdr:colOff>590550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125" name="Option Button 122">
              <controlPr defaultSize="0" autoFill="0" autoLine="0" autoPict="0">
                <anchor moveWithCells="1">
                  <from>
                    <xdr:col>1</xdr:col>
                    <xdr:colOff>180975</xdr:colOff>
                    <xdr:row>80</xdr:row>
                    <xdr:rowOff>161925</xdr:rowOff>
                  </from>
                  <to>
                    <xdr:col>5</xdr:col>
                    <xdr:colOff>66675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126" name="Option Button 123">
              <controlPr defaultSize="0" autoFill="0" autoLine="0" autoPict="0">
                <anchor moveWithCells="1">
                  <from>
                    <xdr:col>5</xdr:col>
                    <xdr:colOff>114300</xdr:colOff>
                    <xdr:row>80</xdr:row>
                    <xdr:rowOff>161925</xdr:rowOff>
                  </from>
                  <to>
                    <xdr:col>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127" name="Option Button 124">
              <controlPr defaultSize="0" autoFill="0" autoLine="0" autoPict="0">
                <anchor moveWithCells="1">
                  <from>
                    <xdr:col>9</xdr:col>
                    <xdr:colOff>47625</xdr:colOff>
                    <xdr:row>80</xdr:row>
                    <xdr:rowOff>161925</xdr:rowOff>
                  </from>
                  <to>
                    <xdr:col>12</xdr:col>
                    <xdr:colOff>542925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128" name="Option Button 125">
              <controlPr defaultSize="0" autoFill="0" autoLine="0" autoPict="0">
                <anchor moveWithCells="1">
                  <from>
                    <xdr:col>12</xdr:col>
                    <xdr:colOff>590550</xdr:colOff>
                    <xdr:row>80</xdr:row>
                    <xdr:rowOff>161925</xdr:rowOff>
                  </from>
                  <to>
                    <xdr:col>16</xdr:col>
                    <xdr:colOff>476250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0" r:id="rId129" name="Option Button 126">
              <controlPr defaultSize="0" autoFill="0" autoLine="0" autoPict="0">
                <anchor moveWithCells="1">
                  <from>
                    <xdr:col>16</xdr:col>
                    <xdr:colOff>523875</xdr:colOff>
                    <xdr:row>80</xdr:row>
                    <xdr:rowOff>161925</xdr:rowOff>
                  </from>
                  <to>
                    <xdr:col>20</xdr:col>
                    <xdr:colOff>409575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1" r:id="rId130" name="Group Box 127">
              <controlPr defaultSize="0" autoFill="0" autoPict="0">
                <anchor moveWithCells="1">
                  <from>
                    <xdr:col>1</xdr:col>
                    <xdr:colOff>9525</xdr:colOff>
                    <xdr:row>83</xdr:row>
                    <xdr:rowOff>85725</xdr:rowOff>
                  </from>
                  <to>
                    <xdr:col>20</xdr:col>
                    <xdr:colOff>590550</xdr:colOff>
                    <xdr:row>86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2" r:id="rId131" name="Option Button 128">
              <controlPr defaultSize="0" autoFill="0" autoLine="0" autoPict="0">
                <anchor moveWithCells="1">
                  <from>
                    <xdr:col>1</xdr:col>
                    <xdr:colOff>180975</xdr:colOff>
                    <xdr:row>84</xdr:row>
                    <xdr:rowOff>95250</xdr:rowOff>
                  </from>
                  <to>
                    <xdr:col>5</xdr:col>
                    <xdr:colOff>66675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3" r:id="rId132" name="Option Button 129">
              <controlPr defaultSize="0" autoFill="0" autoLine="0" autoPict="0">
                <anchor moveWithCells="1">
                  <from>
                    <xdr:col>5</xdr:col>
                    <xdr:colOff>114300</xdr:colOff>
                    <xdr:row>84</xdr:row>
                    <xdr:rowOff>95250</xdr:rowOff>
                  </from>
                  <to>
                    <xdr:col>9</xdr:col>
                    <xdr:colOff>0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4" r:id="rId133" name="Option Button 130">
              <controlPr defaultSize="0" autoFill="0" autoLine="0" autoPict="0">
                <anchor moveWithCells="1">
                  <from>
                    <xdr:col>9</xdr:col>
                    <xdr:colOff>47625</xdr:colOff>
                    <xdr:row>84</xdr:row>
                    <xdr:rowOff>95250</xdr:rowOff>
                  </from>
                  <to>
                    <xdr:col>12</xdr:col>
                    <xdr:colOff>542925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5" r:id="rId134" name="Option Button 131">
              <controlPr defaultSize="0" autoFill="0" autoLine="0" autoPict="0">
                <anchor moveWithCells="1">
                  <from>
                    <xdr:col>12</xdr:col>
                    <xdr:colOff>590550</xdr:colOff>
                    <xdr:row>84</xdr:row>
                    <xdr:rowOff>95250</xdr:rowOff>
                  </from>
                  <to>
                    <xdr:col>16</xdr:col>
                    <xdr:colOff>476250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6" r:id="rId135" name="Option Button 132">
              <controlPr defaultSize="0" autoFill="0" autoLine="0" autoPict="0">
                <anchor moveWithCells="1">
                  <from>
                    <xdr:col>16</xdr:col>
                    <xdr:colOff>523875</xdr:colOff>
                    <xdr:row>84</xdr:row>
                    <xdr:rowOff>95250</xdr:rowOff>
                  </from>
                  <to>
                    <xdr:col>20</xdr:col>
                    <xdr:colOff>409575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7" r:id="rId136" name="Group Box 133">
              <controlPr defaultSize="0" autoFill="0" autoPict="0">
                <anchor moveWithCells="1">
                  <from>
                    <xdr:col>1</xdr:col>
                    <xdr:colOff>9525</xdr:colOff>
                    <xdr:row>87</xdr:row>
                    <xdr:rowOff>19050</xdr:rowOff>
                  </from>
                  <to>
                    <xdr:col>20</xdr:col>
                    <xdr:colOff>590550</xdr:colOff>
                    <xdr:row>90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8" r:id="rId137" name="Option Button 134">
              <controlPr defaultSize="0" autoFill="0" autoLine="0" autoPict="0">
                <anchor moveWithCells="1">
                  <from>
                    <xdr:col>1</xdr:col>
                    <xdr:colOff>180975</xdr:colOff>
                    <xdr:row>88</xdr:row>
                    <xdr:rowOff>28575</xdr:rowOff>
                  </from>
                  <to>
                    <xdr:col>5</xdr:col>
                    <xdr:colOff>66675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9" r:id="rId138" name="Option Button 135">
              <controlPr defaultSize="0" autoFill="0" autoLine="0" autoPict="0">
                <anchor moveWithCells="1">
                  <from>
                    <xdr:col>5</xdr:col>
                    <xdr:colOff>114300</xdr:colOff>
                    <xdr:row>88</xdr:row>
                    <xdr:rowOff>28575</xdr:rowOff>
                  </from>
                  <to>
                    <xdr:col>9</xdr:col>
                    <xdr:colOff>0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0" r:id="rId139" name="Option Button 136">
              <controlPr defaultSize="0" autoFill="0" autoLine="0" autoPict="0">
                <anchor moveWithCells="1">
                  <from>
                    <xdr:col>9</xdr:col>
                    <xdr:colOff>47625</xdr:colOff>
                    <xdr:row>88</xdr:row>
                    <xdr:rowOff>28575</xdr:rowOff>
                  </from>
                  <to>
                    <xdr:col>12</xdr:col>
                    <xdr:colOff>542925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1" r:id="rId140" name="Option Button 137">
              <controlPr defaultSize="0" autoFill="0" autoLine="0" autoPict="0">
                <anchor moveWithCells="1">
                  <from>
                    <xdr:col>12</xdr:col>
                    <xdr:colOff>590550</xdr:colOff>
                    <xdr:row>88</xdr:row>
                    <xdr:rowOff>28575</xdr:rowOff>
                  </from>
                  <to>
                    <xdr:col>16</xdr:col>
                    <xdr:colOff>476250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2" r:id="rId141" name="Option Button 138">
              <controlPr defaultSize="0" autoFill="0" autoLine="0" autoPict="0">
                <anchor moveWithCells="1">
                  <from>
                    <xdr:col>16</xdr:col>
                    <xdr:colOff>523875</xdr:colOff>
                    <xdr:row>88</xdr:row>
                    <xdr:rowOff>28575</xdr:rowOff>
                  </from>
                  <to>
                    <xdr:col>20</xdr:col>
                    <xdr:colOff>409575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3" r:id="rId142" name="Group Box 139">
              <controlPr defaultSize="0" autoFill="0" autoPict="0">
                <anchor moveWithCells="1">
                  <from>
                    <xdr:col>1</xdr:col>
                    <xdr:colOff>9525</xdr:colOff>
                    <xdr:row>90</xdr:row>
                    <xdr:rowOff>142875</xdr:rowOff>
                  </from>
                  <to>
                    <xdr:col>20</xdr:col>
                    <xdr:colOff>590550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4" r:id="rId143" name="Option Button 140">
              <controlPr defaultSize="0" autoFill="0" autoLine="0" autoPict="0">
                <anchor moveWithCells="1">
                  <from>
                    <xdr:col>1</xdr:col>
                    <xdr:colOff>180975</xdr:colOff>
                    <xdr:row>91</xdr:row>
                    <xdr:rowOff>152400</xdr:rowOff>
                  </from>
                  <to>
                    <xdr:col>5</xdr:col>
                    <xdr:colOff>66675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5" r:id="rId144" name="Option Button 141">
              <controlPr defaultSize="0" autoFill="0" autoLine="0" autoPict="0">
                <anchor moveWithCells="1">
                  <from>
                    <xdr:col>5</xdr:col>
                    <xdr:colOff>114300</xdr:colOff>
                    <xdr:row>91</xdr:row>
                    <xdr:rowOff>152400</xdr:rowOff>
                  </from>
                  <to>
                    <xdr:col>9</xdr:col>
                    <xdr:colOff>0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6" r:id="rId145" name="Option Button 142">
              <controlPr defaultSize="0" autoFill="0" autoLine="0" autoPict="0">
                <anchor moveWithCells="1">
                  <from>
                    <xdr:col>9</xdr:col>
                    <xdr:colOff>47625</xdr:colOff>
                    <xdr:row>91</xdr:row>
                    <xdr:rowOff>152400</xdr:rowOff>
                  </from>
                  <to>
                    <xdr:col>12</xdr:col>
                    <xdr:colOff>542925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7" r:id="rId146" name="Option Button 143">
              <controlPr defaultSize="0" autoFill="0" autoLine="0" autoPict="0">
                <anchor moveWithCells="1">
                  <from>
                    <xdr:col>12</xdr:col>
                    <xdr:colOff>590550</xdr:colOff>
                    <xdr:row>91</xdr:row>
                    <xdr:rowOff>152400</xdr:rowOff>
                  </from>
                  <to>
                    <xdr:col>16</xdr:col>
                    <xdr:colOff>476250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8" r:id="rId147" name="Option Button 144">
              <controlPr defaultSize="0" autoFill="0" autoLine="0" autoPict="0">
                <anchor moveWithCells="1">
                  <from>
                    <xdr:col>16</xdr:col>
                    <xdr:colOff>523875</xdr:colOff>
                    <xdr:row>91</xdr:row>
                    <xdr:rowOff>152400</xdr:rowOff>
                  </from>
                  <to>
                    <xdr:col>20</xdr:col>
                    <xdr:colOff>409575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9" r:id="rId148" name="Group Box 145">
              <controlPr defaultSize="0" autoFill="0" autoPict="0">
                <anchor moveWithCells="1">
                  <from>
                    <xdr:col>1</xdr:col>
                    <xdr:colOff>9525</xdr:colOff>
                    <xdr:row>94</xdr:row>
                    <xdr:rowOff>76200</xdr:rowOff>
                  </from>
                  <to>
                    <xdr:col>20</xdr:col>
                    <xdr:colOff>590550</xdr:colOff>
                    <xdr:row>97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0" r:id="rId149" name="Option Button 146">
              <controlPr defaultSize="0" autoFill="0" autoLine="0" autoPict="0">
                <anchor moveWithCells="1">
                  <from>
                    <xdr:col>1</xdr:col>
                    <xdr:colOff>180975</xdr:colOff>
                    <xdr:row>95</xdr:row>
                    <xdr:rowOff>85725</xdr:rowOff>
                  </from>
                  <to>
                    <xdr:col>5</xdr:col>
                    <xdr:colOff>66675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1" r:id="rId150" name="Option Button 147">
              <controlPr defaultSize="0" autoFill="0" autoLine="0" autoPict="0">
                <anchor moveWithCells="1">
                  <from>
                    <xdr:col>5</xdr:col>
                    <xdr:colOff>114300</xdr:colOff>
                    <xdr:row>95</xdr:row>
                    <xdr:rowOff>85725</xdr:rowOff>
                  </from>
                  <to>
                    <xdr:col>9</xdr:col>
                    <xdr:colOff>0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2" r:id="rId151" name="Option Button 148">
              <controlPr defaultSize="0" autoFill="0" autoLine="0" autoPict="0">
                <anchor moveWithCells="1">
                  <from>
                    <xdr:col>9</xdr:col>
                    <xdr:colOff>47625</xdr:colOff>
                    <xdr:row>95</xdr:row>
                    <xdr:rowOff>85725</xdr:rowOff>
                  </from>
                  <to>
                    <xdr:col>12</xdr:col>
                    <xdr:colOff>542925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3" r:id="rId152" name="Option Button 149">
              <controlPr defaultSize="0" autoFill="0" autoLine="0" autoPict="0">
                <anchor moveWithCells="1">
                  <from>
                    <xdr:col>12</xdr:col>
                    <xdr:colOff>590550</xdr:colOff>
                    <xdr:row>95</xdr:row>
                    <xdr:rowOff>85725</xdr:rowOff>
                  </from>
                  <to>
                    <xdr:col>16</xdr:col>
                    <xdr:colOff>476250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4" r:id="rId153" name="Option Button 150">
              <controlPr defaultSize="0" autoFill="0" autoLine="0" autoPict="0">
                <anchor moveWithCells="1">
                  <from>
                    <xdr:col>16</xdr:col>
                    <xdr:colOff>523875</xdr:colOff>
                    <xdr:row>95</xdr:row>
                    <xdr:rowOff>85725</xdr:rowOff>
                  </from>
                  <to>
                    <xdr:col>20</xdr:col>
                    <xdr:colOff>409575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5" r:id="rId154" name="Group Box 151">
              <controlPr defaultSize="0" autoFill="0" autoPict="0">
                <anchor moveWithCells="1">
                  <from>
                    <xdr:col>1</xdr:col>
                    <xdr:colOff>9525</xdr:colOff>
                    <xdr:row>98</xdr:row>
                    <xdr:rowOff>9525</xdr:rowOff>
                  </from>
                  <to>
                    <xdr:col>20</xdr:col>
                    <xdr:colOff>590550</xdr:colOff>
                    <xdr:row>101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6" r:id="rId155" name="Option Button 152">
              <controlPr defaultSize="0" autoFill="0" autoLine="0" autoPict="0">
                <anchor moveWithCells="1">
                  <from>
                    <xdr:col>1</xdr:col>
                    <xdr:colOff>180975</xdr:colOff>
                    <xdr:row>99</xdr:row>
                    <xdr:rowOff>19050</xdr:rowOff>
                  </from>
                  <to>
                    <xdr:col>5</xdr:col>
                    <xdr:colOff>66675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7" r:id="rId156" name="Option Button 153">
              <controlPr defaultSize="0" autoFill="0" autoLine="0" autoPict="0">
                <anchor moveWithCells="1">
                  <from>
                    <xdr:col>5</xdr:col>
                    <xdr:colOff>114300</xdr:colOff>
                    <xdr:row>99</xdr:row>
                    <xdr:rowOff>19050</xdr:rowOff>
                  </from>
                  <to>
                    <xdr:col>9</xdr:col>
                    <xdr:colOff>0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8" r:id="rId157" name="Option Button 154">
              <controlPr defaultSize="0" autoFill="0" autoLine="0" autoPict="0">
                <anchor moveWithCells="1">
                  <from>
                    <xdr:col>9</xdr:col>
                    <xdr:colOff>47625</xdr:colOff>
                    <xdr:row>99</xdr:row>
                    <xdr:rowOff>19050</xdr:rowOff>
                  </from>
                  <to>
                    <xdr:col>12</xdr:col>
                    <xdr:colOff>542925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9" r:id="rId158" name="Option Button 155">
              <controlPr defaultSize="0" autoFill="0" autoLine="0" autoPict="0">
                <anchor moveWithCells="1">
                  <from>
                    <xdr:col>12</xdr:col>
                    <xdr:colOff>590550</xdr:colOff>
                    <xdr:row>99</xdr:row>
                    <xdr:rowOff>19050</xdr:rowOff>
                  </from>
                  <to>
                    <xdr:col>16</xdr:col>
                    <xdr:colOff>476250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0" r:id="rId159" name="Option Button 156">
              <controlPr defaultSize="0" autoFill="0" autoLine="0" autoPict="0">
                <anchor moveWithCells="1">
                  <from>
                    <xdr:col>16</xdr:col>
                    <xdr:colOff>523875</xdr:colOff>
                    <xdr:row>99</xdr:row>
                    <xdr:rowOff>19050</xdr:rowOff>
                  </from>
                  <to>
                    <xdr:col>20</xdr:col>
                    <xdr:colOff>409575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1" r:id="rId160" name="Group Box 157">
              <controlPr defaultSize="0" autoFill="0" autoPict="0">
                <anchor moveWithCells="1">
                  <from>
                    <xdr:col>1</xdr:col>
                    <xdr:colOff>9525</xdr:colOff>
                    <xdr:row>101</xdr:row>
                    <xdr:rowOff>133350</xdr:rowOff>
                  </from>
                  <to>
                    <xdr:col>20</xdr:col>
                    <xdr:colOff>590550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2" r:id="rId161" name="Option Button 158">
              <controlPr defaultSize="0" autoFill="0" autoLine="0" autoPict="0">
                <anchor moveWithCells="1">
                  <from>
                    <xdr:col>1</xdr:col>
                    <xdr:colOff>180975</xdr:colOff>
                    <xdr:row>102</xdr:row>
                    <xdr:rowOff>142875</xdr:rowOff>
                  </from>
                  <to>
                    <xdr:col>5</xdr:col>
                    <xdr:colOff>66675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3" r:id="rId162" name="Option Button 159">
              <controlPr defaultSize="0" autoFill="0" autoLine="0" autoPict="0">
                <anchor moveWithCells="1">
                  <from>
                    <xdr:col>5</xdr:col>
                    <xdr:colOff>114300</xdr:colOff>
                    <xdr:row>102</xdr:row>
                    <xdr:rowOff>142875</xdr:rowOff>
                  </from>
                  <to>
                    <xdr:col>9</xdr:col>
                    <xdr:colOff>0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4" r:id="rId163" name="Option Button 160">
              <controlPr defaultSize="0" autoFill="0" autoLine="0" autoPict="0">
                <anchor moveWithCells="1">
                  <from>
                    <xdr:col>9</xdr:col>
                    <xdr:colOff>47625</xdr:colOff>
                    <xdr:row>102</xdr:row>
                    <xdr:rowOff>142875</xdr:rowOff>
                  </from>
                  <to>
                    <xdr:col>12</xdr:col>
                    <xdr:colOff>542925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" r:id="rId164" name="Option Button 161">
              <controlPr defaultSize="0" autoFill="0" autoLine="0" autoPict="0">
                <anchor moveWithCells="1">
                  <from>
                    <xdr:col>12</xdr:col>
                    <xdr:colOff>590550</xdr:colOff>
                    <xdr:row>102</xdr:row>
                    <xdr:rowOff>142875</xdr:rowOff>
                  </from>
                  <to>
                    <xdr:col>16</xdr:col>
                    <xdr:colOff>476250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6" r:id="rId165" name="Option Button 162">
              <controlPr defaultSize="0" autoFill="0" autoLine="0" autoPict="0">
                <anchor moveWithCells="1">
                  <from>
                    <xdr:col>16</xdr:col>
                    <xdr:colOff>523875</xdr:colOff>
                    <xdr:row>102</xdr:row>
                    <xdr:rowOff>142875</xdr:rowOff>
                  </from>
                  <to>
                    <xdr:col>20</xdr:col>
                    <xdr:colOff>409575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7" r:id="rId166" name="Group Box 163">
              <controlPr defaultSize="0" autoFill="0" autoPict="0">
                <anchor moveWithCells="1">
                  <from>
                    <xdr:col>1</xdr:col>
                    <xdr:colOff>9525</xdr:colOff>
                    <xdr:row>105</xdr:row>
                    <xdr:rowOff>66675</xdr:rowOff>
                  </from>
                  <to>
                    <xdr:col>20</xdr:col>
                    <xdr:colOff>590550</xdr:colOff>
                    <xdr:row>108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8" r:id="rId167" name="Option Button 164">
              <controlPr defaultSize="0" autoFill="0" autoLine="0" autoPict="0">
                <anchor moveWithCells="1">
                  <from>
                    <xdr:col>1</xdr:col>
                    <xdr:colOff>180975</xdr:colOff>
                    <xdr:row>106</xdr:row>
                    <xdr:rowOff>76200</xdr:rowOff>
                  </from>
                  <to>
                    <xdr:col>5</xdr:col>
                    <xdr:colOff>66675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9" r:id="rId168" name="Option Button 165">
              <controlPr defaultSize="0" autoFill="0" autoLine="0" autoPict="0">
                <anchor moveWithCells="1">
                  <from>
                    <xdr:col>5</xdr:col>
                    <xdr:colOff>114300</xdr:colOff>
                    <xdr:row>106</xdr:row>
                    <xdr:rowOff>76200</xdr:rowOff>
                  </from>
                  <to>
                    <xdr:col>9</xdr:col>
                    <xdr:colOff>0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0" r:id="rId169" name="Option Button 166">
              <controlPr defaultSize="0" autoFill="0" autoLine="0" autoPict="0">
                <anchor moveWithCells="1">
                  <from>
                    <xdr:col>9</xdr:col>
                    <xdr:colOff>47625</xdr:colOff>
                    <xdr:row>106</xdr:row>
                    <xdr:rowOff>76200</xdr:rowOff>
                  </from>
                  <to>
                    <xdr:col>12</xdr:col>
                    <xdr:colOff>542925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1" r:id="rId170" name="Option Button 167">
              <controlPr defaultSize="0" autoFill="0" autoLine="0" autoPict="0">
                <anchor moveWithCells="1">
                  <from>
                    <xdr:col>12</xdr:col>
                    <xdr:colOff>590550</xdr:colOff>
                    <xdr:row>106</xdr:row>
                    <xdr:rowOff>76200</xdr:rowOff>
                  </from>
                  <to>
                    <xdr:col>16</xdr:col>
                    <xdr:colOff>476250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2" r:id="rId171" name="Option Button 168">
              <controlPr defaultSize="0" autoFill="0" autoLine="0" autoPict="0">
                <anchor moveWithCells="1">
                  <from>
                    <xdr:col>16</xdr:col>
                    <xdr:colOff>523875</xdr:colOff>
                    <xdr:row>106</xdr:row>
                    <xdr:rowOff>76200</xdr:rowOff>
                  </from>
                  <to>
                    <xdr:col>20</xdr:col>
                    <xdr:colOff>409575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3" r:id="rId172" name="Group Box 169">
              <controlPr defaultSize="0" autoFill="0" autoPict="0">
                <anchor moveWithCells="1">
                  <from>
                    <xdr:col>1</xdr:col>
                    <xdr:colOff>9525</xdr:colOff>
                    <xdr:row>109</xdr:row>
                    <xdr:rowOff>0</xdr:rowOff>
                  </from>
                  <to>
                    <xdr:col>20</xdr:col>
                    <xdr:colOff>590550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4" r:id="rId173" name="Option Button 170">
              <controlPr defaultSize="0" autoFill="0" autoLine="0" autoPict="0">
                <anchor moveWithCells="1">
                  <from>
                    <xdr:col>1</xdr:col>
                    <xdr:colOff>180975</xdr:colOff>
                    <xdr:row>110</xdr:row>
                    <xdr:rowOff>9525</xdr:rowOff>
                  </from>
                  <to>
                    <xdr:col>5</xdr:col>
                    <xdr:colOff>66675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5" r:id="rId174" name="Option Button 171">
              <controlPr defaultSize="0" autoFill="0" autoLine="0" autoPict="0">
                <anchor moveWithCells="1">
                  <from>
                    <xdr:col>5</xdr:col>
                    <xdr:colOff>114300</xdr:colOff>
                    <xdr:row>110</xdr:row>
                    <xdr:rowOff>9525</xdr:rowOff>
                  </from>
                  <to>
                    <xdr:col>9</xdr:col>
                    <xdr:colOff>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6" r:id="rId175" name="Option Button 172">
              <controlPr defaultSize="0" autoFill="0" autoLine="0" autoPict="0">
                <anchor moveWithCells="1">
                  <from>
                    <xdr:col>9</xdr:col>
                    <xdr:colOff>47625</xdr:colOff>
                    <xdr:row>110</xdr:row>
                    <xdr:rowOff>9525</xdr:rowOff>
                  </from>
                  <to>
                    <xdr:col>12</xdr:col>
                    <xdr:colOff>542925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7" r:id="rId176" name="Option Button 173">
              <controlPr defaultSize="0" autoFill="0" autoLine="0" autoPict="0">
                <anchor moveWithCells="1">
                  <from>
                    <xdr:col>12</xdr:col>
                    <xdr:colOff>590550</xdr:colOff>
                    <xdr:row>110</xdr:row>
                    <xdr:rowOff>9525</xdr:rowOff>
                  </from>
                  <to>
                    <xdr:col>16</xdr:col>
                    <xdr:colOff>476250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8" r:id="rId177" name="Option Button 174">
              <controlPr defaultSize="0" autoFill="0" autoLine="0" autoPict="0">
                <anchor moveWithCells="1">
                  <from>
                    <xdr:col>16</xdr:col>
                    <xdr:colOff>523875</xdr:colOff>
                    <xdr:row>110</xdr:row>
                    <xdr:rowOff>9525</xdr:rowOff>
                  </from>
                  <to>
                    <xdr:col>20</xdr:col>
                    <xdr:colOff>409575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9" r:id="rId178" name="Group Box 175">
              <controlPr defaultSize="0" autoFill="0" autoPict="0">
                <anchor moveWithCells="1">
                  <from>
                    <xdr:col>1</xdr:col>
                    <xdr:colOff>9525</xdr:colOff>
                    <xdr:row>112</xdr:row>
                    <xdr:rowOff>123825</xdr:rowOff>
                  </from>
                  <to>
                    <xdr:col>20</xdr:col>
                    <xdr:colOff>590550</xdr:colOff>
                    <xdr:row>115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0" r:id="rId179" name="Option Button 176">
              <controlPr defaultSize="0" autoFill="0" autoLine="0" autoPict="0">
                <anchor moveWithCells="1">
                  <from>
                    <xdr:col>1</xdr:col>
                    <xdr:colOff>180975</xdr:colOff>
                    <xdr:row>113</xdr:row>
                    <xdr:rowOff>133350</xdr:rowOff>
                  </from>
                  <to>
                    <xdr:col>5</xdr:col>
                    <xdr:colOff>66675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1" r:id="rId180" name="Option Button 177">
              <controlPr defaultSize="0" autoFill="0" autoLine="0" autoPict="0">
                <anchor moveWithCells="1">
                  <from>
                    <xdr:col>5</xdr:col>
                    <xdr:colOff>114300</xdr:colOff>
                    <xdr:row>113</xdr:row>
                    <xdr:rowOff>133350</xdr:rowOff>
                  </from>
                  <to>
                    <xdr:col>9</xdr:col>
                    <xdr:colOff>0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2" r:id="rId181" name="Option Button 178">
              <controlPr defaultSize="0" autoFill="0" autoLine="0" autoPict="0">
                <anchor moveWithCells="1">
                  <from>
                    <xdr:col>9</xdr:col>
                    <xdr:colOff>47625</xdr:colOff>
                    <xdr:row>113</xdr:row>
                    <xdr:rowOff>133350</xdr:rowOff>
                  </from>
                  <to>
                    <xdr:col>12</xdr:col>
                    <xdr:colOff>542925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3" r:id="rId182" name="Option Button 179">
              <controlPr defaultSize="0" autoFill="0" autoLine="0" autoPict="0">
                <anchor moveWithCells="1">
                  <from>
                    <xdr:col>12</xdr:col>
                    <xdr:colOff>590550</xdr:colOff>
                    <xdr:row>113</xdr:row>
                    <xdr:rowOff>133350</xdr:rowOff>
                  </from>
                  <to>
                    <xdr:col>16</xdr:col>
                    <xdr:colOff>476250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4" r:id="rId183" name="Option Button 180">
              <controlPr defaultSize="0" autoFill="0" autoLine="0" autoPict="0">
                <anchor moveWithCells="1">
                  <from>
                    <xdr:col>16</xdr:col>
                    <xdr:colOff>523875</xdr:colOff>
                    <xdr:row>113</xdr:row>
                    <xdr:rowOff>133350</xdr:rowOff>
                  </from>
                  <to>
                    <xdr:col>20</xdr:col>
                    <xdr:colOff>409575</xdr:colOff>
                    <xdr:row>114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>
    <tabColor theme="9" tint="0.59999389629810485"/>
  </sheetPr>
  <dimension ref="B1:U6"/>
  <sheetViews>
    <sheetView topLeftCell="A75" workbookViewId="0">
      <selection activeCell="B16" sqref="B16:U18"/>
    </sheetView>
  </sheetViews>
  <sheetFormatPr defaultRowHeight="15" customHeight="1" x14ac:dyDescent="0.25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 x14ac:dyDescent="0.25"/>
    <row r="2" spans="2:21" ht="22.5" customHeight="1" x14ac:dyDescent="0.25"/>
    <row r="3" spans="2:21" ht="61.5" customHeight="1" x14ac:dyDescent="0.25">
      <c r="B3" s="106" t="s">
        <v>278</v>
      </c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</row>
    <row r="5" spans="2:21" ht="30" customHeight="1" x14ac:dyDescent="0.25">
      <c r="B5" s="105" t="s">
        <v>48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</row>
    <row r="6" spans="2:21" ht="30" customHeight="1" x14ac:dyDescent="0.25"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</row>
  </sheetData>
  <mergeCells count="2">
    <mergeCell ref="B3:U3"/>
    <mergeCell ref="B5:U6"/>
  </mergeCells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Group Box 1">
              <controlPr defaultSize="0" autoFill="0" autoPict="0">
                <anchor moveWithCells="1">
                  <from>
                    <xdr:col>1</xdr:col>
                    <xdr:colOff>9525</xdr:colOff>
                    <xdr:row>6</xdr:row>
                    <xdr:rowOff>180975</xdr:rowOff>
                  </from>
                  <to>
                    <xdr:col>20</xdr:col>
                    <xdr:colOff>590550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Option Button 2">
              <controlPr defaultSize="0" autoFill="0" autoLine="0" autoPict="0">
                <anchor moveWithCells="1">
                  <from>
                    <xdr:col>1</xdr:col>
                    <xdr:colOff>180975</xdr:colOff>
                    <xdr:row>8</xdr:row>
                    <xdr:rowOff>0</xdr:rowOff>
                  </from>
                  <to>
                    <xdr:col>5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Option Button 3">
              <controlPr defaultSize="0" autoFill="0" autoLine="0" autoPict="0">
                <anchor moveWithCells="1">
                  <from>
                    <xdr:col>5</xdr:col>
                    <xdr:colOff>114300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Option Button 4">
              <controlPr defaultSize="0" autoFill="0" autoLine="0" autoPict="0">
                <anchor moveWithCells="1">
                  <from>
                    <xdr:col>9</xdr:col>
                    <xdr:colOff>47625</xdr:colOff>
                    <xdr:row>8</xdr:row>
                    <xdr:rowOff>0</xdr:rowOff>
                  </from>
                  <to>
                    <xdr:col>12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Option Button 5">
              <controlPr defaultSize="0" autoFill="0" autoLine="0" autoPict="0">
                <anchor moveWithCells="1">
                  <from>
                    <xdr:col>12</xdr:col>
                    <xdr:colOff>590550</xdr:colOff>
                    <xdr:row>8</xdr:row>
                    <xdr:rowOff>0</xdr:rowOff>
                  </from>
                  <to>
                    <xdr:col>16</xdr:col>
                    <xdr:colOff>476250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Option Button 6">
              <controlPr defaultSize="0" autoFill="0" autoLine="0" autoPict="0">
                <anchor moveWithCells="1">
                  <from>
                    <xdr:col>16</xdr:col>
                    <xdr:colOff>523875</xdr:colOff>
                    <xdr:row>8</xdr:row>
                    <xdr:rowOff>0</xdr:rowOff>
                  </from>
                  <to>
                    <xdr:col>20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Group Box 7">
              <controlPr defaultSize="0" autoFill="0" autoPict="0">
                <anchor moveWithCells="1">
                  <from>
                    <xdr:col>1</xdr:col>
                    <xdr:colOff>9525</xdr:colOff>
                    <xdr:row>10</xdr:row>
                    <xdr:rowOff>114300</xdr:rowOff>
                  </from>
                  <to>
                    <xdr:col>20</xdr:col>
                    <xdr:colOff>590550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Option Button 8">
              <controlPr defaultSize="0" autoFill="0" autoLine="0" autoPict="0">
                <anchor moveWithCells="1">
                  <from>
                    <xdr:col>1</xdr:col>
                    <xdr:colOff>180975</xdr:colOff>
                    <xdr:row>11</xdr:row>
                    <xdr:rowOff>123825</xdr:rowOff>
                  </from>
                  <to>
                    <xdr:col>5</xdr:col>
                    <xdr:colOff>66675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Option Button 9">
              <controlPr defaultSize="0" autoFill="0" autoLine="0" autoPict="0">
                <anchor moveWithCells="1">
                  <from>
                    <xdr:col>5</xdr:col>
                    <xdr:colOff>114300</xdr:colOff>
                    <xdr:row>11</xdr:row>
                    <xdr:rowOff>123825</xdr:rowOff>
                  </from>
                  <to>
                    <xdr:col>9</xdr:col>
                    <xdr:colOff>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Option Button 10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123825</xdr:rowOff>
                  </from>
                  <to>
                    <xdr:col>12</xdr:col>
                    <xdr:colOff>542925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Option Button 11">
              <controlPr defaultSize="0" autoFill="0" autoLine="0" autoPict="0">
                <anchor moveWithCells="1">
                  <from>
                    <xdr:col>12</xdr:col>
                    <xdr:colOff>590550</xdr:colOff>
                    <xdr:row>11</xdr:row>
                    <xdr:rowOff>123825</xdr:rowOff>
                  </from>
                  <to>
                    <xdr:col>16</xdr:col>
                    <xdr:colOff>476250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Option Button 12">
              <controlPr defaultSize="0" autoFill="0" autoLine="0" autoPict="0">
                <anchor moveWithCells="1">
                  <from>
                    <xdr:col>16</xdr:col>
                    <xdr:colOff>523875</xdr:colOff>
                    <xdr:row>11</xdr:row>
                    <xdr:rowOff>123825</xdr:rowOff>
                  </from>
                  <to>
                    <xdr:col>20</xdr:col>
                    <xdr:colOff>409575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Group Box 13">
              <controlPr defaultSize="0" autoFill="0" autoPict="0">
                <anchor moveWithCells="1">
                  <from>
                    <xdr:col>1</xdr:col>
                    <xdr:colOff>9525</xdr:colOff>
                    <xdr:row>14</xdr:row>
                    <xdr:rowOff>47625</xdr:rowOff>
                  </from>
                  <to>
                    <xdr:col>20</xdr:col>
                    <xdr:colOff>590550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Option Button 14">
              <controlPr defaultSize="0" autoFill="0" autoLine="0" autoPict="0">
                <anchor moveWithCells="1">
                  <from>
                    <xdr:col>1</xdr:col>
                    <xdr:colOff>180975</xdr:colOff>
                    <xdr:row>15</xdr:row>
                    <xdr:rowOff>57150</xdr:rowOff>
                  </from>
                  <to>
                    <xdr:col>5</xdr:col>
                    <xdr:colOff>66675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Option Button 15">
              <controlPr defaultSize="0" autoFill="0" autoLine="0" autoPict="0">
                <anchor moveWithCells="1">
                  <from>
                    <xdr:col>5</xdr:col>
                    <xdr:colOff>114300</xdr:colOff>
                    <xdr:row>15</xdr:row>
                    <xdr:rowOff>57150</xdr:rowOff>
                  </from>
                  <to>
                    <xdr:col>9</xdr:col>
                    <xdr:colOff>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Option Button 16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57150</xdr:rowOff>
                  </from>
                  <to>
                    <xdr:col>12</xdr:col>
                    <xdr:colOff>542925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Option Button 17">
              <controlPr defaultSize="0" autoFill="0" autoLine="0" autoPict="0">
                <anchor moveWithCells="1">
                  <from>
                    <xdr:col>12</xdr:col>
                    <xdr:colOff>590550</xdr:colOff>
                    <xdr:row>15</xdr:row>
                    <xdr:rowOff>57150</xdr:rowOff>
                  </from>
                  <to>
                    <xdr:col>16</xdr:col>
                    <xdr:colOff>476250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Option Button 18">
              <controlPr defaultSize="0" autoFill="0" autoLine="0" autoPict="0">
                <anchor moveWithCells="1">
                  <from>
                    <xdr:col>16</xdr:col>
                    <xdr:colOff>523875</xdr:colOff>
                    <xdr:row>15</xdr:row>
                    <xdr:rowOff>57150</xdr:rowOff>
                  </from>
                  <to>
                    <xdr:col>20</xdr:col>
                    <xdr:colOff>409575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Group Box 19">
              <controlPr defaultSize="0" autoFill="0" autoPict="0">
                <anchor moveWithCells="1">
                  <from>
                    <xdr:col>1</xdr:col>
                    <xdr:colOff>9525</xdr:colOff>
                    <xdr:row>17</xdr:row>
                    <xdr:rowOff>171450</xdr:rowOff>
                  </from>
                  <to>
                    <xdr:col>20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Option Button 20">
              <controlPr defaultSize="0" autoFill="0" autoLine="0" autoPict="0">
                <anchor moveWithCells="1">
                  <from>
                    <xdr:col>1</xdr:col>
                    <xdr:colOff>180975</xdr:colOff>
                    <xdr:row>18</xdr:row>
                    <xdr:rowOff>180975</xdr:rowOff>
                  </from>
                  <to>
                    <xdr:col>5</xdr:col>
                    <xdr:colOff>66675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Option Button 21">
              <controlPr defaultSize="0" autoFill="0" autoLine="0" autoPict="0">
                <anchor moveWithCells="1">
                  <from>
                    <xdr:col>5</xdr:col>
                    <xdr:colOff>114300</xdr:colOff>
                    <xdr:row>18</xdr:row>
                    <xdr:rowOff>180975</xdr:rowOff>
                  </from>
                  <to>
                    <xdr:col>9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Option Button 22">
              <controlPr defaultSize="0" autoFill="0" autoLine="0" autoPict="0">
                <anchor moveWithCells="1">
                  <from>
                    <xdr:col>9</xdr:col>
                    <xdr:colOff>47625</xdr:colOff>
                    <xdr:row>18</xdr:row>
                    <xdr:rowOff>180975</xdr:rowOff>
                  </from>
                  <to>
                    <xdr:col>12</xdr:col>
                    <xdr:colOff>542925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Option Button 23">
              <controlPr defaultSize="0" autoFill="0" autoLine="0" autoPict="0">
                <anchor moveWithCells="1">
                  <from>
                    <xdr:col>12</xdr:col>
                    <xdr:colOff>590550</xdr:colOff>
                    <xdr:row>18</xdr:row>
                    <xdr:rowOff>180975</xdr:rowOff>
                  </from>
                  <to>
                    <xdr:col>16</xdr:col>
                    <xdr:colOff>476250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Option Button 24">
              <controlPr defaultSize="0" autoFill="0" autoLine="0" autoPict="0">
                <anchor moveWithCells="1">
                  <from>
                    <xdr:col>16</xdr:col>
                    <xdr:colOff>523875</xdr:colOff>
                    <xdr:row>18</xdr:row>
                    <xdr:rowOff>180975</xdr:rowOff>
                  </from>
                  <to>
                    <xdr:col>20</xdr:col>
                    <xdr:colOff>409575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Group Box 25">
              <controlPr defaultSize="0" autoFill="0" autoPict="0">
                <anchor moveWithCells="1">
                  <from>
                    <xdr:col>1</xdr:col>
                    <xdr:colOff>9525</xdr:colOff>
                    <xdr:row>21</xdr:row>
                    <xdr:rowOff>104775</xdr:rowOff>
                  </from>
                  <to>
                    <xdr:col>20</xdr:col>
                    <xdr:colOff>590550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Option Button 26">
              <controlPr defaultSize="0" autoFill="0" autoLine="0" autoPict="0">
                <anchor moveWithCells="1">
                  <from>
                    <xdr:col>1</xdr:col>
                    <xdr:colOff>180975</xdr:colOff>
                    <xdr:row>22</xdr:row>
                    <xdr:rowOff>114300</xdr:rowOff>
                  </from>
                  <to>
                    <xdr:col>5</xdr:col>
                    <xdr:colOff>66675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Option Button 27">
              <controlPr defaultSize="0" autoFill="0" autoLine="0" autoPict="0">
                <anchor moveWithCells="1">
                  <from>
                    <xdr:col>5</xdr:col>
                    <xdr:colOff>114300</xdr:colOff>
                    <xdr:row>22</xdr:row>
                    <xdr:rowOff>114300</xdr:rowOff>
                  </from>
                  <to>
                    <xdr:col>9</xdr:col>
                    <xdr:colOff>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Option Button 28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114300</xdr:rowOff>
                  </from>
                  <to>
                    <xdr:col>12</xdr:col>
                    <xdr:colOff>542925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Option Button 29">
              <controlPr defaultSize="0" autoFill="0" autoLine="0" autoPict="0">
                <anchor moveWithCells="1">
                  <from>
                    <xdr:col>12</xdr:col>
                    <xdr:colOff>590550</xdr:colOff>
                    <xdr:row>22</xdr:row>
                    <xdr:rowOff>114300</xdr:rowOff>
                  </from>
                  <to>
                    <xdr:col>16</xdr:col>
                    <xdr:colOff>476250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Option Button 30">
              <controlPr defaultSize="0" autoFill="0" autoLine="0" autoPict="0">
                <anchor moveWithCells="1">
                  <from>
                    <xdr:col>16</xdr:col>
                    <xdr:colOff>523875</xdr:colOff>
                    <xdr:row>22</xdr:row>
                    <xdr:rowOff>114300</xdr:rowOff>
                  </from>
                  <to>
                    <xdr:col>20</xdr:col>
                    <xdr:colOff>409575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Group Box 31">
              <controlPr defaultSize="0" autoFill="0" autoPict="0">
                <anchor moveWithCells="1">
                  <from>
                    <xdr:col>1</xdr:col>
                    <xdr:colOff>9525</xdr:colOff>
                    <xdr:row>25</xdr:row>
                    <xdr:rowOff>38100</xdr:rowOff>
                  </from>
                  <to>
                    <xdr:col>20</xdr:col>
                    <xdr:colOff>590550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Option Button 32">
              <controlPr defaultSize="0" autoFill="0" autoLine="0" autoPict="0">
                <anchor moveWithCells="1">
                  <from>
                    <xdr:col>1</xdr:col>
                    <xdr:colOff>180975</xdr:colOff>
                    <xdr:row>26</xdr:row>
                    <xdr:rowOff>47625</xdr:rowOff>
                  </from>
                  <to>
                    <xdr:col>5</xdr:col>
                    <xdr:colOff>66675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Option Button 33">
              <controlPr defaultSize="0" autoFill="0" autoLine="0" autoPict="0">
                <anchor moveWithCells="1">
                  <from>
                    <xdr:col>5</xdr:col>
                    <xdr:colOff>114300</xdr:colOff>
                    <xdr:row>26</xdr:row>
                    <xdr:rowOff>47625</xdr:rowOff>
                  </from>
                  <to>
                    <xdr:col>9</xdr:col>
                    <xdr:colOff>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Option Button 34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47625</xdr:rowOff>
                  </from>
                  <to>
                    <xdr:col>12</xdr:col>
                    <xdr:colOff>542925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Option Button 35">
              <controlPr defaultSize="0" autoFill="0" autoLine="0" autoPict="0">
                <anchor moveWithCells="1">
                  <from>
                    <xdr:col>12</xdr:col>
                    <xdr:colOff>590550</xdr:colOff>
                    <xdr:row>26</xdr:row>
                    <xdr:rowOff>47625</xdr:rowOff>
                  </from>
                  <to>
                    <xdr:col>16</xdr:col>
                    <xdr:colOff>476250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Option Button 36">
              <controlPr defaultSize="0" autoFill="0" autoLine="0" autoPict="0">
                <anchor moveWithCells="1">
                  <from>
                    <xdr:col>16</xdr:col>
                    <xdr:colOff>523875</xdr:colOff>
                    <xdr:row>26</xdr:row>
                    <xdr:rowOff>47625</xdr:rowOff>
                  </from>
                  <to>
                    <xdr:col>20</xdr:col>
                    <xdr:colOff>409575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Group Box 37">
              <controlPr defaultSize="0" autoFill="0" autoPict="0">
                <anchor moveWithCells="1">
                  <from>
                    <xdr:col>1</xdr:col>
                    <xdr:colOff>9525</xdr:colOff>
                    <xdr:row>28</xdr:row>
                    <xdr:rowOff>133350</xdr:rowOff>
                  </from>
                  <to>
                    <xdr:col>20</xdr:col>
                    <xdr:colOff>590550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Option Button 38">
              <controlPr defaultSize="0" autoFill="0" autoLine="0" autoPict="0">
                <anchor moveWithCells="1">
                  <from>
                    <xdr:col>1</xdr:col>
                    <xdr:colOff>180975</xdr:colOff>
                    <xdr:row>29</xdr:row>
                    <xdr:rowOff>142875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Option Button 39">
              <controlPr defaultSize="0" autoFill="0" autoLine="0" autoPict="0">
                <anchor moveWithCells="1">
                  <from>
                    <xdr:col>5</xdr:col>
                    <xdr:colOff>114300</xdr:colOff>
                    <xdr:row>29</xdr:row>
                    <xdr:rowOff>142875</xdr:rowOff>
                  </from>
                  <to>
                    <xdr:col>9</xdr:col>
                    <xdr:colOff>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Option Button 40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142875</xdr:rowOff>
                  </from>
                  <to>
                    <xdr:col>12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Option Button 41">
              <controlPr defaultSize="0" autoFill="0" autoLine="0" autoPict="0">
                <anchor moveWithCells="1">
                  <from>
                    <xdr:col>12</xdr:col>
                    <xdr:colOff>590550</xdr:colOff>
                    <xdr:row>29</xdr:row>
                    <xdr:rowOff>142875</xdr:rowOff>
                  </from>
                  <to>
                    <xdr:col>16</xdr:col>
                    <xdr:colOff>476250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Option Button 42">
              <controlPr defaultSize="0" autoFill="0" autoLine="0" autoPict="0">
                <anchor moveWithCells="1">
                  <from>
                    <xdr:col>16</xdr:col>
                    <xdr:colOff>523875</xdr:colOff>
                    <xdr:row>29</xdr:row>
                    <xdr:rowOff>142875</xdr:rowOff>
                  </from>
                  <to>
                    <xdr:col>20</xdr:col>
                    <xdr:colOff>409575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Group Box 43">
              <controlPr defaultSize="0" autoFill="0" autoPict="0">
                <anchor moveWithCells="1">
                  <from>
                    <xdr:col>1</xdr:col>
                    <xdr:colOff>9525</xdr:colOff>
                    <xdr:row>32</xdr:row>
                    <xdr:rowOff>66675</xdr:rowOff>
                  </from>
                  <to>
                    <xdr:col>20</xdr:col>
                    <xdr:colOff>590550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Option Button 44">
              <controlPr defaultSize="0" autoFill="0" autoLine="0" autoPict="0">
                <anchor moveWithCells="1">
                  <from>
                    <xdr:col>1</xdr:col>
                    <xdr:colOff>180975</xdr:colOff>
                    <xdr:row>33</xdr:row>
                    <xdr:rowOff>76200</xdr:rowOff>
                  </from>
                  <to>
                    <xdr:col>5</xdr:col>
                    <xdr:colOff>66675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Option Button 45">
              <controlPr defaultSize="0" autoFill="0" autoLine="0" autoPict="0">
                <anchor moveWithCells="1">
                  <from>
                    <xdr:col>5</xdr:col>
                    <xdr:colOff>114300</xdr:colOff>
                    <xdr:row>33</xdr:row>
                    <xdr:rowOff>76200</xdr:rowOff>
                  </from>
                  <to>
                    <xdr:col>9</xdr:col>
                    <xdr:colOff>0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Option Button 46">
              <controlPr defaultSize="0" autoFill="0" autoLine="0" autoPict="0">
                <anchor moveWithCells="1">
                  <from>
                    <xdr:col>9</xdr:col>
                    <xdr:colOff>47625</xdr:colOff>
                    <xdr:row>33</xdr:row>
                    <xdr:rowOff>76200</xdr:rowOff>
                  </from>
                  <to>
                    <xdr:col>12</xdr:col>
                    <xdr:colOff>542925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Option Button 47">
              <controlPr defaultSize="0" autoFill="0" autoLine="0" autoPict="0">
                <anchor moveWithCells="1">
                  <from>
                    <xdr:col>12</xdr:col>
                    <xdr:colOff>590550</xdr:colOff>
                    <xdr:row>33</xdr:row>
                    <xdr:rowOff>76200</xdr:rowOff>
                  </from>
                  <to>
                    <xdr:col>16</xdr:col>
                    <xdr:colOff>476250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Option Button 48">
              <controlPr defaultSize="0" autoFill="0" autoLine="0" autoPict="0">
                <anchor moveWithCells="1">
                  <from>
                    <xdr:col>16</xdr:col>
                    <xdr:colOff>523875</xdr:colOff>
                    <xdr:row>33</xdr:row>
                    <xdr:rowOff>76200</xdr:rowOff>
                  </from>
                  <to>
                    <xdr:col>20</xdr:col>
                    <xdr:colOff>409575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Group Box 49">
              <controlPr defaultSize="0" autoFill="0" autoPict="0">
                <anchor moveWithCells="1">
                  <from>
                    <xdr:col>1</xdr:col>
                    <xdr:colOff>9525</xdr:colOff>
                    <xdr:row>36</xdr:row>
                    <xdr:rowOff>0</xdr:rowOff>
                  </from>
                  <to>
                    <xdr:col>20</xdr:col>
                    <xdr:colOff>590550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Option Button 50">
              <controlPr defaultSize="0" autoFill="0" autoLine="0" autoPict="0">
                <anchor moveWithCells="1">
                  <from>
                    <xdr:col>1</xdr:col>
                    <xdr:colOff>180975</xdr:colOff>
                    <xdr:row>37</xdr:row>
                    <xdr:rowOff>9525</xdr:rowOff>
                  </from>
                  <to>
                    <xdr:col>5</xdr:col>
                    <xdr:colOff>66675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Option Button 51">
              <controlPr defaultSize="0" autoFill="0" autoLine="0" autoPict="0">
                <anchor moveWithCells="1">
                  <from>
                    <xdr:col>5</xdr:col>
                    <xdr:colOff>114300</xdr:colOff>
                    <xdr:row>37</xdr:row>
                    <xdr:rowOff>9525</xdr:rowOff>
                  </from>
                  <to>
                    <xdr:col>9</xdr:col>
                    <xdr:colOff>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Option Button 52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9525</xdr:rowOff>
                  </from>
                  <to>
                    <xdr:col>12</xdr:col>
                    <xdr:colOff>542925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Option Button 53">
              <controlPr defaultSize="0" autoFill="0" autoLine="0" autoPict="0">
                <anchor moveWithCells="1">
                  <from>
                    <xdr:col>12</xdr:col>
                    <xdr:colOff>590550</xdr:colOff>
                    <xdr:row>37</xdr:row>
                    <xdr:rowOff>9525</xdr:rowOff>
                  </from>
                  <to>
                    <xdr:col>16</xdr:col>
                    <xdr:colOff>476250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Option Button 54">
              <controlPr defaultSize="0" autoFill="0" autoLine="0" autoPict="0">
                <anchor moveWithCells="1">
                  <from>
                    <xdr:col>16</xdr:col>
                    <xdr:colOff>523875</xdr:colOff>
                    <xdr:row>37</xdr:row>
                    <xdr:rowOff>9525</xdr:rowOff>
                  </from>
                  <to>
                    <xdr:col>20</xdr:col>
                    <xdr:colOff>409575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Group Box 55">
              <controlPr defaultSize="0" autoFill="0" autoPict="0">
                <anchor moveWithCells="1">
                  <from>
                    <xdr:col>1</xdr:col>
                    <xdr:colOff>9525</xdr:colOff>
                    <xdr:row>39</xdr:row>
                    <xdr:rowOff>123825</xdr:rowOff>
                  </from>
                  <to>
                    <xdr:col>20</xdr:col>
                    <xdr:colOff>590550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Option Button 56">
              <controlPr defaultSize="0" autoFill="0" autoLine="0" autoPict="0">
                <anchor moveWithCells="1">
                  <from>
                    <xdr:col>1</xdr:col>
                    <xdr:colOff>180975</xdr:colOff>
                    <xdr:row>40</xdr:row>
                    <xdr:rowOff>133350</xdr:rowOff>
                  </from>
                  <to>
                    <xdr:col>5</xdr:col>
                    <xdr:colOff>66675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Option Button 57">
              <controlPr defaultSize="0" autoFill="0" autoLine="0" autoPict="0">
                <anchor moveWithCells="1">
                  <from>
                    <xdr:col>5</xdr:col>
                    <xdr:colOff>114300</xdr:colOff>
                    <xdr:row>40</xdr:row>
                    <xdr:rowOff>133350</xdr:rowOff>
                  </from>
                  <to>
                    <xdr:col>9</xdr:col>
                    <xdr:colOff>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Option Button 58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133350</xdr:rowOff>
                  </from>
                  <to>
                    <xdr:col>12</xdr:col>
                    <xdr:colOff>542925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Option Button 59">
              <controlPr defaultSize="0" autoFill="0" autoLine="0" autoPict="0">
                <anchor moveWithCells="1">
                  <from>
                    <xdr:col>12</xdr:col>
                    <xdr:colOff>590550</xdr:colOff>
                    <xdr:row>40</xdr:row>
                    <xdr:rowOff>133350</xdr:rowOff>
                  </from>
                  <to>
                    <xdr:col>16</xdr:col>
                    <xdr:colOff>476250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Option Button 60">
              <controlPr defaultSize="0" autoFill="0" autoLine="0" autoPict="0">
                <anchor moveWithCells="1">
                  <from>
                    <xdr:col>16</xdr:col>
                    <xdr:colOff>523875</xdr:colOff>
                    <xdr:row>40</xdr:row>
                    <xdr:rowOff>133350</xdr:rowOff>
                  </from>
                  <to>
                    <xdr:col>20</xdr:col>
                    <xdr:colOff>409575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Group Box 61">
              <controlPr defaultSize="0" autoFill="0" autoPict="0">
                <anchor moveWithCells="1">
                  <from>
                    <xdr:col>1</xdr:col>
                    <xdr:colOff>9525</xdr:colOff>
                    <xdr:row>43</xdr:row>
                    <xdr:rowOff>57150</xdr:rowOff>
                  </from>
                  <to>
                    <xdr:col>20</xdr:col>
                    <xdr:colOff>590550</xdr:colOff>
                    <xdr:row>46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Option Button 62">
              <controlPr defaultSize="0" autoFill="0" autoLine="0" autoPict="0">
                <anchor moveWithCells="1">
                  <from>
                    <xdr:col>1</xdr:col>
                    <xdr:colOff>180975</xdr:colOff>
                    <xdr:row>44</xdr:row>
                    <xdr:rowOff>66675</xdr:rowOff>
                  </from>
                  <to>
                    <xdr:col>5</xdr:col>
                    <xdr:colOff>66675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Option Button 63">
              <controlPr defaultSize="0" autoFill="0" autoLine="0" autoPict="0">
                <anchor moveWithCells="1">
                  <from>
                    <xdr:col>5</xdr:col>
                    <xdr:colOff>114300</xdr:colOff>
                    <xdr:row>44</xdr:row>
                    <xdr:rowOff>66675</xdr:rowOff>
                  </from>
                  <to>
                    <xdr:col>9</xdr:col>
                    <xdr:colOff>0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Option Button 64">
              <controlPr defaultSize="0" autoFill="0" autoLine="0" autoPict="0">
                <anchor moveWithCells="1">
                  <from>
                    <xdr:col>9</xdr:col>
                    <xdr:colOff>47625</xdr:colOff>
                    <xdr:row>44</xdr:row>
                    <xdr:rowOff>66675</xdr:rowOff>
                  </from>
                  <to>
                    <xdr:col>12</xdr:col>
                    <xdr:colOff>542925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Option Button 65">
              <controlPr defaultSize="0" autoFill="0" autoLine="0" autoPict="0">
                <anchor moveWithCells="1">
                  <from>
                    <xdr:col>12</xdr:col>
                    <xdr:colOff>590550</xdr:colOff>
                    <xdr:row>44</xdr:row>
                    <xdr:rowOff>66675</xdr:rowOff>
                  </from>
                  <to>
                    <xdr:col>16</xdr:col>
                    <xdr:colOff>476250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Option Button 66">
              <controlPr defaultSize="0" autoFill="0" autoLine="0" autoPict="0">
                <anchor moveWithCells="1">
                  <from>
                    <xdr:col>16</xdr:col>
                    <xdr:colOff>523875</xdr:colOff>
                    <xdr:row>44</xdr:row>
                    <xdr:rowOff>66675</xdr:rowOff>
                  </from>
                  <to>
                    <xdr:col>20</xdr:col>
                    <xdr:colOff>409575</xdr:colOff>
                    <xdr:row>45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Group Box 67">
              <controlPr defaultSize="0" autoFill="0" autoPict="0">
                <anchor moveWithCells="1">
                  <from>
                    <xdr:col>1</xdr:col>
                    <xdr:colOff>9525</xdr:colOff>
                    <xdr:row>46</xdr:row>
                    <xdr:rowOff>180975</xdr:rowOff>
                  </from>
                  <to>
                    <xdr:col>20</xdr:col>
                    <xdr:colOff>590550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Option Button 68">
              <controlPr defaultSize="0" autoFill="0" autoLine="0" autoPict="0">
                <anchor moveWithCells="1">
                  <from>
                    <xdr:col>1</xdr:col>
                    <xdr:colOff>180975</xdr:colOff>
                    <xdr:row>48</xdr:row>
                    <xdr:rowOff>0</xdr:rowOff>
                  </from>
                  <to>
                    <xdr:col>5</xdr:col>
                    <xdr:colOff>66675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Option Button 69">
              <controlPr defaultSize="0" autoFill="0" autoLine="0" autoPict="0">
                <anchor moveWithCells="1">
                  <from>
                    <xdr:col>5</xdr:col>
                    <xdr:colOff>114300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Option Button 70">
              <controlPr defaultSize="0" autoFill="0" autoLine="0" autoPict="0">
                <anchor moveWithCells="1">
                  <from>
                    <xdr:col>9</xdr:col>
                    <xdr:colOff>47625</xdr:colOff>
                    <xdr:row>48</xdr:row>
                    <xdr:rowOff>0</xdr:rowOff>
                  </from>
                  <to>
                    <xdr:col>12</xdr:col>
                    <xdr:colOff>542925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Option Button 71">
              <controlPr defaultSize="0" autoFill="0" autoLine="0" autoPict="0">
                <anchor moveWithCells="1">
                  <from>
                    <xdr:col>12</xdr:col>
                    <xdr:colOff>590550</xdr:colOff>
                    <xdr:row>48</xdr:row>
                    <xdr:rowOff>0</xdr:rowOff>
                  </from>
                  <to>
                    <xdr:col>16</xdr:col>
                    <xdr:colOff>476250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Option Button 72">
              <controlPr defaultSize="0" autoFill="0" autoLine="0" autoPict="0">
                <anchor moveWithCells="1">
                  <from>
                    <xdr:col>16</xdr:col>
                    <xdr:colOff>523875</xdr:colOff>
                    <xdr:row>48</xdr:row>
                    <xdr:rowOff>0</xdr:rowOff>
                  </from>
                  <to>
                    <xdr:col>20</xdr:col>
                    <xdr:colOff>409575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Group Box 73">
              <controlPr defaultSize="0" autoFill="0" autoPict="0">
                <anchor moveWithCells="1">
                  <from>
                    <xdr:col>1</xdr:col>
                    <xdr:colOff>9525</xdr:colOff>
                    <xdr:row>50</xdr:row>
                    <xdr:rowOff>114300</xdr:rowOff>
                  </from>
                  <to>
                    <xdr:col>20</xdr:col>
                    <xdr:colOff>590550</xdr:colOff>
                    <xdr:row>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Option Button 74">
              <controlPr defaultSize="0" autoFill="0" autoLine="0" autoPict="0">
                <anchor moveWithCells="1">
                  <from>
                    <xdr:col>1</xdr:col>
                    <xdr:colOff>180975</xdr:colOff>
                    <xdr:row>51</xdr:row>
                    <xdr:rowOff>123825</xdr:rowOff>
                  </from>
                  <to>
                    <xdr:col>5</xdr:col>
                    <xdr:colOff>66675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Option Button 75">
              <controlPr defaultSize="0" autoFill="0" autoLine="0" autoPict="0">
                <anchor moveWithCells="1">
                  <from>
                    <xdr:col>5</xdr:col>
                    <xdr:colOff>114300</xdr:colOff>
                    <xdr:row>51</xdr:row>
                    <xdr:rowOff>123825</xdr:rowOff>
                  </from>
                  <to>
                    <xdr:col>9</xdr:col>
                    <xdr:colOff>0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Option Button 76">
              <controlPr defaultSize="0" autoFill="0" autoLine="0" autoPict="0">
                <anchor moveWithCells="1">
                  <from>
                    <xdr:col>9</xdr:col>
                    <xdr:colOff>47625</xdr:colOff>
                    <xdr:row>51</xdr:row>
                    <xdr:rowOff>123825</xdr:rowOff>
                  </from>
                  <to>
                    <xdr:col>12</xdr:col>
                    <xdr:colOff>542925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Option Button 77">
              <controlPr defaultSize="0" autoFill="0" autoLine="0" autoPict="0">
                <anchor moveWithCells="1">
                  <from>
                    <xdr:col>12</xdr:col>
                    <xdr:colOff>590550</xdr:colOff>
                    <xdr:row>51</xdr:row>
                    <xdr:rowOff>123825</xdr:rowOff>
                  </from>
                  <to>
                    <xdr:col>16</xdr:col>
                    <xdr:colOff>476250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Option Button 78">
              <controlPr defaultSize="0" autoFill="0" autoLine="0" autoPict="0">
                <anchor moveWithCells="1">
                  <from>
                    <xdr:col>16</xdr:col>
                    <xdr:colOff>523875</xdr:colOff>
                    <xdr:row>51</xdr:row>
                    <xdr:rowOff>123825</xdr:rowOff>
                  </from>
                  <to>
                    <xdr:col>20</xdr:col>
                    <xdr:colOff>409575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Group Box 79">
              <controlPr defaultSize="0" autoFill="0" autoPict="0">
                <anchor moveWithCells="1">
                  <from>
                    <xdr:col>1</xdr:col>
                    <xdr:colOff>9525</xdr:colOff>
                    <xdr:row>54</xdr:row>
                    <xdr:rowOff>47625</xdr:rowOff>
                  </from>
                  <to>
                    <xdr:col>20</xdr:col>
                    <xdr:colOff>590550</xdr:colOff>
                    <xdr:row>57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Option Button 80">
              <controlPr defaultSize="0" autoFill="0" autoLine="0" autoPict="0">
                <anchor moveWithCells="1">
                  <from>
                    <xdr:col>1</xdr:col>
                    <xdr:colOff>180975</xdr:colOff>
                    <xdr:row>55</xdr:row>
                    <xdr:rowOff>57150</xdr:rowOff>
                  </from>
                  <to>
                    <xdr:col>5</xdr:col>
                    <xdr:colOff>66675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Option Button 81">
              <controlPr defaultSize="0" autoFill="0" autoLine="0" autoPict="0">
                <anchor moveWithCells="1">
                  <from>
                    <xdr:col>5</xdr:col>
                    <xdr:colOff>114300</xdr:colOff>
                    <xdr:row>55</xdr:row>
                    <xdr:rowOff>57150</xdr:rowOff>
                  </from>
                  <to>
                    <xdr:col>9</xdr:col>
                    <xdr:colOff>0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Option Button 82">
              <controlPr defaultSize="0" autoFill="0" autoLine="0" autoPict="0">
                <anchor moveWithCells="1">
                  <from>
                    <xdr:col>9</xdr:col>
                    <xdr:colOff>47625</xdr:colOff>
                    <xdr:row>55</xdr:row>
                    <xdr:rowOff>57150</xdr:rowOff>
                  </from>
                  <to>
                    <xdr:col>12</xdr:col>
                    <xdr:colOff>542925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Option Button 83">
              <controlPr defaultSize="0" autoFill="0" autoLine="0" autoPict="0">
                <anchor moveWithCells="1">
                  <from>
                    <xdr:col>12</xdr:col>
                    <xdr:colOff>590550</xdr:colOff>
                    <xdr:row>55</xdr:row>
                    <xdr:rowOff>57150</xdr:rowOff>
                  </from>
                  <to>
                    <xdr:col>16</xdr:col>
                    <xdr:colOff>476250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Option Button 84">
              <controlPr defaultSize="0" autoFill="0" autoLine="0" autoPict="0">
                <anchor moveWithCells="1">
                  <from>
                    <xdr:col>16</xdr:col>
                    <xdr:colOff>523875</xdr:colOff>
                    <xdr:row>55</xdr:row>
                    <xdr:rowOff>57150</xdr:rowOff>
                  </from>
                  <to>
                    <xdr:col>20</xdr:col>
                    <xdr:colOff>409575</xdr:colOff>
                    <xdr:row>56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Group Box 85">
              <controlPr defaultSize="0" autoFill="0" autoPict="0">
                <anchor moveWithCells="1">
                  <from>
                    <xdr:col>1</xdr:col>
                    <xdr:colOff>9525</xdr:colOff>
                    <xdr:row>57</xdr:row>
                    <xdr:rowOff>171450</xdr:rowOff>
                  </from>
                  <to>
                    <xdr:col>20</xdr:col>
                    <xdr:colOff>590550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Option Button 86">
              <controlPr defaultSize="0" autoFill="0" autoLine="0" autoPict="0">
                <anchor moveWithCells="1">
                  <from>
                    <xdr:col>1</xdr:col>
                    <xdr:colOff>180975</xdr:colOff>
                    <xdr:row>58</xdr:row>
                    <xdr:rowOff>180975</xdr:rowOff>
                  </from>
                  <to>
                    <xdr:col>5</xdr:col>
                    <xdr:colOff>66675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Option Button 87">
              <controlPr defaultSize="0" autoFill="0" autoLine="0" autoPict="0">
                <anchor moveWithCells="1">
                  <from>
                    <xdr:col>5</xdr:col>
                    <xdr:colOff>114300</xdr:colOff>
                    <xdr:row>58</xdr:row>
                    <xdr:rowOff>180975</xdr:rowOff>
                  </from>
                  <to>
                    <xdr:col>9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Option Button 88">
              <controlPr defaultSize="0" autoFill="0" autoLine="0" autoPict="0">
                <anchor moveWithCells="1">
                  <from>
                    <xdr:col>9</xdr:col>
                    <xdr:colOff>47625</xdr:colOff>
                    <xdr:row>58</xdr:row>
                    <xdr:rowOff>180975</xdr:rowOff>
                  </from>
                  <to>
                    <xdr:col>12</xdr:col>
                    <xdr:colOff>542925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Option Button 89">
              <controlPr defaultSize="0" autoFill="0" autoLine="0" autoPict="0">
                <anchor moveWithCells="1">
                  <from>
                    <xdr:col>12</xdr:col>
                    <xdr:colOff>590550</xdr:colOff>
                    <xdr:row>58</xdr:row>
                    <xdr:rowOff>180975</xdr:rowOff>
                  </from>
                  <to>
                    <xdr:col>16</xdr:col>
                    <xdr:colOff>476250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Option Button 90">
              <controlPr defaultSize="0" autoFill="0" autoLine="0" autoPict="0">
                <anchor moveWithCells="1">
                  <from>
                    <xdr:col>16</xdr:col>
                    <xdr:colOff>523875</xdr:colOff>
                    <xdr:row>58</xdr:row>
                    <xdr:rowOff>180975</xdr:rowOff>
                  </from>
                  <to>
                    <xdr:col>20</xdr:col>
                    <xdr:colOff>409575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Group Box 91">
              <controlPr defaultSize="0" autoFill="0" autoPict="0">
                <anchor moveWithCells="1">
                  <from>
                    <xdr:col>1</xdr:col>
                    <xdr:colOff>9525</xdr:colOff>
                    <xdr:row>61</xdr:row>
                    <xdr:rowOff>104775</xdr:rowOff>
                  </from>
                  <to>
                    <xdr:col>20</xdr:col>
                    <xdr:colOff>590550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Option Button 92">
              <controlPr defaultSize="0" autoFill="0" autoLine="0" autoPict="0">
                <anchor moveWithCells="1">
                  <from>
                    <xdr:col>1</xdr:col>
                    <xdr:colOff>180975</xdr:colOff>
                    <xdr:row>62</xdr:row>
                    <xdr:rowOff>114300</xdr:rowOff>
                  </from>
                  <to>
                    <xdr:col>5</xdr:col>
                    <xdr:colOff>66675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Option Button 93">
              <controlPr defaultSize="0" autoFill="0" autoLine="0" autoPict="0">
                <anchor moveWithCells="1">
                  <from>
                    <xdr:col>5</xdr:col>
                    <xdr:colOff>114300</xdr:colOff>
                    <xdr:row>62</xdr:row>
                    <xdr:rowOff>114300</xdr:rowOff>
                  </from>
                  <to>
                    <xdr:col>9</xdr:col>
                    <xdr:colOff>0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Option Button 94">
              <controlPr defaultSize="0" autoFill="0" autoLine="0" autoPict="0">
                <anchor moveWithCells="1">
                  <from>
                    <xdr:col>9</xdr:col>
                    <xdr:colOff>47625</xdr:colOff>
                    <xdr:row>62</xdr:row>
                    <xdr:rowOff>114300</xdr:rowOff>
                  </from>
                  <to>
                    <xdr:col>12</xdr:col>
                    <xdr:colOff>542925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Option Button 95">
              <controlPr defaultSize="0" autoFill="0" autoLine="0" autoPict="0">
                <anchor moveWithCells="1">
                  <from>
                    <xdr:col>12</xdr:col>
                    <xdr:colOff>590550</xdr:colOff>
                    <xdr:row>62</xdr:row>
                    <xdr:rowOff>114300</xdr:rowOff>
                  </from>
                  <to>
                    <xdr:col>16</xdr:col>
                    <xdr:colOff>476250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Option Button 96">
              <controlPr defaultSize="0" autoFill="0" autoLine="0" autoPict="0">
                <anchor moveWithCells="1">
                  <from>
                    <xdr:col>16</xdr:col>
                    <xdr:colOff>523875</xdr:colOff>
                    <xdr:row>62</xdr:row>
                    <xdr:rowOff>114300</xdr:rowOff>
                  </from>
                  <to>
                    <xdr:col>20</xdr:col>
                    <xdr:colOff>409575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Group Box 97">
              <controlPr defaultSize="0" autoFill="0" autoPict="0">
                <anchor moveWithCells="1">
                  <from>
                    <xdr:col>1</xdr:col>
                    <xdr:colOff>9525</xdr:colOff>
                    <xdr:row>65</xdr:row>
                    <xdr:rowOff>38100</xdr:rowOff>
                  </from>
                  <to>
                    <xdr:col>20</xdr:col>
                    <xdr:colOff>590550</xdr:colOff>
                    <xdr:row>68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Option Button 98">
              <controlPr defaultSize="0" autoFill="0" autoLine="0" autoPict="0">
                <anchor moveWithCells="1">
                  <from>
                    <xdr:col>1</xdr:col>
                    <xdr:colOff>180975</xdr:colOff>
                    <xdr:row>66</xdr:row>
                    <xdr:rowOff>47625</xdr:rowOff>
                  </from>
                  <to>
                    <xdr:col>5</xdr:col>
                    <xdr:colOff>66675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Option Button 99">
              <controlPr defaultSize="0" autoFill="0" autoLine="0" autoPict="0">
                <anchor moveWithCells="1">
                  <from>
                    <xdr:col>5</xdr:col>
                    <xdr:colOff>114300</xdr:colOff>
                    <xdr:row>66</xdr:row>
                    <xdr:rowOff>47625</xdr:rowOff>
                  </from>
                  <to>
                    <xdr:col>9</xdr:col>
                    <xdr:colOff>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Option Button 100">
              <controlPr defaultSize="0" autoFill="0" autoLine="0" autoPict="0">
                <anchor moveWithCells="1">
                  <from>
                    <xdr:col>9</xdr:col>
                    <xdr:colOff>47625</xdr:colOff>
                    <xdr:row>66</xdr:row>
                    <xdr:rowOff>47625</xdr:rowOff>
                  </from>
                  <to>
                    <xdr:col>12</xdr:col>
                    <xdr:colOff>542925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Option Button 101">
              <controlPr defaultSize="0" autoFill="0" autoLine="0" autoPict="0">
                <anchor moveWithCells="1">
                  <from>
                    <xdr:col>12</xdr:col>
                    <xdr:colOff>590550</xdr:colOff>
                    <xdr:row>66</xdr:row>
                    <xdr:rowOff>47625</xdr:rowOff>
                  </from>
                  <to>
                    <xdr:col>16</xdr:col>
                    <xdr:colOff>476250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Option Button 102">
              <controlPr defaultSize="0" autoFill="0" autoLine="0" autoPict="0">
                <anchor moveWithCells="1">
                  <from>
                    <xdr:col>16</xdr:col>
                    <xdr:colOff>523875</xdr:colOff>
                    <xdr:row>66</xdr:row>
                    <xdr:rowOff>47625</xdr:rowOff>
                  </from>
                  <to>
                    <xdr:col>20</xdr:col>
                    <xdr:colOff>409575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Group Box 103">
              <controlPr defaultSize="0" autoFill="0" autoPict="0">
                <anchor moveWithCells="1">
                  <from>
                    <xdr:col>1</xdr:col>
                    <xdr:colOff>9525</xdr:colOff>
                    <xdr:row>68</xdr:row>
                    <xdr:rowOff>161925</xdr:rowOff>
                  </from>
                  <to>
                    <xdr:col>20</xdr:col>
                    <xdr:colOff>590550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Option Button 104">
              <controlPr defaultSize="0" autoFill="0" autoLine="0" autoPict="0">
                <anchor moveWithCells="1">
                  <from>
                    <xdr:col>1</xdr:col>
                    <xdr:colOff>180975</xdr:colOff>
                    <xdr:row>69</xdr:row>
                    <xdr:rowOff>171450</xdr:rowOff>
                  </from>
                  <to>
                    <xdr:col>5</xdr:col>
                    <xdr:colOff>66675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Option Button 105">
              <controlPr defaultSize="0" autoFill="0" autoLine="0" autoPict="0">
                <anchor moveWithCells="1">
                  <from>
                    <xdr:col>5</xdr:col>
                    <xdr:colOff>114300</xdr:colOff>
                    <xdr:row>69</xdr:row>
                    <xdr:rowOff>171450</xdr:rowOff>
                  </from>
                  <to>
                    <xdr:col>9</xdr:col>
                    <xdr:colOff>0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Option Button 106">
              <controlPr defaultSize="0" autoFill="0" autoLine="0" autoPict="0">
                <anchor moveWithCells="1">
                  <from>
                    <xdr:col>9</xdr:col>
                    <xdr:colOff>47625</xdr:colOff>
                    <xdr:row>69</xdr:row>
                    <xdr:rowOff>171450</xdr:rowOff>
                  </from>
                  <to>
                    <xdr:col>12</xdr:col>
                    <xdr:colOff>542925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Option Button 107">
              <controlPr defaultSize="0" autoFill="0" autoLine="0" autoPict="0">
                <anchor moveWithCells="1">
                  <from>
                    <xdr:col>12</xdr:col>
                    <xdr:colOff>590550</xdr:colOff>
                    <xdr:row>69</xdr:row>
                    <xdr:rowOff>171450</xdr:rowOff>
                  </from>
                  <to>
                    <xdr:col>16</xdr:col>
                    <xdr:colOff>476250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Option Button 108">
              <controlPr defaultSize="0" autoFill="0" autoLine="0" autoPict="0">
                <anchor moveWithCells="1">
                  <from>
                    <xdr:col>16</xdr:col>
                    <xdr:colOff>523875</xdr:colOff>
                    <xdr:row>69</xdr:row>
                    <xdr:rowOff>171450</xdr:rowOff>
                  </from>
                  <to>
                    <xdr:col>20</xdr:col>
                    <xdr:colOff>409575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Group Box 109">
              <controlPr defaultSize="0" autoFill="0" autoPict="0">
                <anchor moveWithCells="1">
                  <from>
                    <xdr:col>1</xdr:col>
                    <xdr:colOff>9525</xdr:colOff>
                    <xdr:row>72</xdr:row>
                    <xdr:rowOff>95250</xdr:rowOff>
                  </from>
                  <to>
                    <xdr:col>20</xdr:col>
                    <xdr:colOff>590550</xdr:colOff>
                    <xdr:row>75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Option Button 110">
              <controlPr defaultSize="0" autoFill="0" autoLine="0" autoPict="0">
                <anchor moveWithCells="1">
                  <from>
                    <xdr:col>1</xdr:col>
                    <xdr:colOff>180975</xdr:colOff>
                    <xdr:row>73</xdr:row>
                    <xdr:rowOff>104775</xdr:rowOff>
                  </from>
                  <to>
                    <xdr:col>5</xdr:col>
                    <xdr:colOff>66675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Option Button 111">
              <controlPr defaultSize="0" autoFill="0" autoLine="0" autoPict="0">
                <anchor moveWithCells="1">
                  <from>
                    <xdr:col>5</xdr:col>
                    <xdr:colOff>114300</xdr:colOff>
                    <xdr:row>73</xdr:row>
                    <xdr:rowOff>104775</xdr:rowOff>
                  </from>
                  <to>
                    <xdr:col>9</xdr:col>
                    <xdr:colOff>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Option Button 112">
              <controlPr defaultSize="0" autoFill="0" autoLine="0" autoPict="0">
                <anchor moveWithCells="1">
                  <from>
                    <xdr:col>9</xdr:col>
                    <xdr:colOff>47625</xdr:colOff>
                    <xdr:row>73</xdr:row>
                    <xdr:rowOff>104775</xdr:rowOff>
                  </from>
                  <to>
                    <xdr:col>12</xdr:col>
                    <xdr:colOff>542925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Option Button 113">
              <controlPr defaultSize="0" autoFill="0" autoLine="0" autoPict="0">
                <anchor moveWithCells="1">
                  <from>
                    <xdr:col>12</xdr:col>
                    <xdr:colOff>590550</xdr:colOff>
                    <xdr:row>73</xdr:row>
                    <xdr:rowOff>104775</xdr:rowOff>
                  </from>
                  <to>
                    <xdr:col>16</xdr:col>
                    <xdr:colOff>476250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Option Button 114">
              <controlPr defaultSize="0" autoFill="0" autoLine="0" autoPict="0">
                <anchor moveWithCells="1">
                  <from>
                    <xdr:col>16</xdr:col>
                    <xdr:colOff>523875</xdr:colOff>
                    <xdr:row>73</xdr:row>
                    <xdr:rowOff>104775</xdr:rowOff>
                  </from>
                  <to>
                    <xdr:col>20</xdr:col>
                    <xdr:colOff>409575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Group Box 115">
              <controlPr defaultSize="0" autoFill="0" autoPict="0">
                <anchor moveWithCells="1">
                  <from>
                    <xdr:col>1</xdr:col>
                    <xdr:colOff>9525</xdr:colOff>
                    <xdr:row>76</xdr:row>
                    <xdr:rowOff>28575</xdr:rowOff>
                  </from>
                  <to>
                    <xdr:col>20</xdr:col>
                    <xdr:colOff>590550</xdr:colOff>
                    <xdr:row>79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Option Button 116">
              <controlPr defaultSize="0" autoFill="0" autoLine="0" autoPict="0">
                <anchor moveWithCells="1">
                  <from>
                    <xdr:col>1</xdr:col>
                    <xdr:colOff>180975</xdr:colOff>
                    <xdr:row>77</xdr:row>
                    <xdr:rowOff>38100</xdr:rowOff>
                  </from>
                  <to>
                    <xdr:col>5</xdr:col>
                    <xdr:colOff>66675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Option Button 117">
              <controlPr defaultSize="0" autoFill="0" autoLine="0" autoPict="0">
                <anchor moveWithCells="1">
                  <from>
                    <xdr:col>5</xdr:col>
                    <xdr:colOff>114300</xdr:colOff>
                    <xdr:row>77</xdr:row>
                    <xdr:rowOff>38100</xdr:rowOff>
                  </from>
                  <to>
                    <xdr:col>9</xdr:col>
                    <xdr:colOff>0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Option Button 118">
              <controlPr defaultSize="0" autoFill="0" autoLine="0" autoPict="0">
                <anchor moveWithCells="1">
                  <from>
                    <xdr:col>9</xdr:col>
                    <xdr:colOff>47625</xdr:colOff>
                    <xdr:row>77</xdr:row>
                    <xdr:rowOff>38100</xdr:rowOff>
                  </from>
                  <to>
                    <xdr:col>12</xdr:col>
                    <xdr:colOff>542925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Option Button 119">
              <controlPr defaultSize="0" autoFill="0" autoLine="0" autoPict="0">
                <anchor moveWithCells="1">
                  <from>
                    <xdr:col>12</xdr:col>
                    <xdr:colOff>590550</xdr:colOff>
                    <xdr:row>77</xdr:row>
                    <xdr:rowOff>38100</xdr:rowOff>
                  </from>
                  <to>
                    <xdr:col>16</xdr:col>
                    <xdr:colOff>476250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Option Button 120">
              <controlPr defaultSize="0" autoFill="0" autoLine="0" autoPict="0">
                <anchor moveWithCells="1">
                  <from>
                    <xdr:col>16</xdr:col>
                    <xdr:colOff>523875</xdr:colOff>
                    <xdr:row>77</xdr:row>
                    <xdr:rowOff>38100</xdr:rowOff>
                  </from>
                  <to>
                    <xdr:col>20</xdr:col>
                    <xdr:colOff>409575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Group Box 121">
              <controlPr defaultSize="0" autoFill="0" autoPict="0">
                <anchor moveWithCells="1">
                  <from>
                    <xdr:col>1</xdr:col>
                    <xdr:colOff>9525</xdr:colOff>
                    <xdr:row>79</xdr:row>
                    <xdr:rowOff>152400</xdr:rowOff>
                  </from>
                  <to>
                    <xdr:col>20</xdr:col>
                    <xdr:colOff>590550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Option Button 122">
              <controlPr defaultSize="0" autoFill="0" autoLine="0" autoPict="0">
                <anchor moveWithCells="1">
                  <from>
                    <xdr:col>1</xdr:col>
                    <xdr:colOff>180975</xdr:colOff>
                    <xdr:row>80</xdr:row>
                    <xdr:rowOff>161925</xdr:rowOff>
                  </from>
                  <to>
                    <xdr:col>5</xdr:col>
                    <xdr:colOff>66675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Option Button 123">
              <controlPr defaultSize="0" autoFill="0" autoLine="0" autoPict="0">
                <anchor moveWithCells="1">
                  <from>
                    <xdr:col>5</xdr:col>
                    <xdr:colOff>114300</xdr:colOff>
                    <xdr:row>80</xdr:row>
                    <xdr:rowOff>161925</xdr:rowOff>
                  </from>
                  <to>
                    <xdr:col>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Option Button 124">
              <controlPr defaultSize="0" autoFill="0" autoLine="0" autoPict="0">
                <anchor moveWithCells="1">
                  <from>
                    <xdr:col>9</xdr:col>
                    <xdr:colOff>47625</xdr:colOff>
                    <xdr:row>80</xdr:row>
                    <xdr:rowOff>161925</xdr:rowOff>
                  </from>
                  <to>
                    <xdr:col>12</xdr:col>
                    <xdr:colOff>542925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Option Button 125">
              <controlPr defaultSize="0" autoFill="0" autoLine="0" autoPict="0">
                <anchor moveWithCells="1">
                  <from>
                    <xdr:col>12</xdr:col>
                    <xdr:colOff>590550</xdr:colOff>
                    <xdr:row>80</xdr:row>
                    <xdr:rowOff>161925</xdr:rowOff>
                  </from>
                  <to>
                    <xdr:col>16</xdr:col>
                    <xdr:colOff>476250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Option Button 126">
              <controlPr defaultSize="0" autoFill="0" autoLine="0" autoPict="0">
                <anchor moveWithCells="1">
                  <from>
                    <xdr:col>16</xdr:col>
                    <xdr:colOff>523875</xdr:colOff>
                    <xdr:row>80</xdr:row>
                    <xdr:rowOff>161925</xdr:rowOff>
                  </from>
                  <to>
                    <xdr:col>20</xdr:col>
                    <xdr:colOff>409575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Group Box 127">
              <controlPr defaultSize="0" autoFill="0" autoPict="0">
                <anchor moveWithCells="1">
                  <from>
                    <xdr:col>1</xdr:col>
                    <xdr:colOff>9525</xdr:colOff>
                    <xdr:row>83</xdr:row>
                    <xdr:rowOff>85725</xdr:rowOff>
                  </from>
                  <to>
                    <xdr:col>20</xdr:col>
                    <xdr:colOff>590550</xdr:colOff>
                    <xdr:row>86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Option Button 128">
              <controlPr defaultSize="0" autoFill="0" autoLine="0" autoPict="0">
                <anchor moveWithCells="1">
                  <from>
                    <xdr:col>1</xdr:col>
                    <xdr:colOff>180975</xdr:colOff>
                    <xdr:row>84</xdr:row>
                    <xdr:rowOff>95250</xdr:rowOff>
                  </from>
                  <to>
                    <xdr:col>5</xdr:col>
                    <xdr:colOff>66675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Option Button 129">
              <controlPr defaultSize="0" autoFill="0" autoLine="0" autoPict="0">
                <anchor moveWithCells="1">
                  <from>
                    <xdr:col>5</xdr:col>
                    <xdr:colOff>114300</xdr:colOff>
                    <xdr:row>84</xdr:row>
                    <xdr:rowOff>95250</xdr:rowOff>
                  </from>
                  <to>
                    <xdr:col>9</xdr:col>
                    <xdr:colOff>0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Option Button 130">
              <controlPr defaultSize="0" autoFill="0" autoLine="0" autoPict="0">
                <anchor moveWithCells="1">
                  <from>
                    <xdr:col>9</xdr:col>
                    <xdr:colOff>47625</xdr:colOff>
                    <xdr:row>84</xdr:row>
                    <xdr:rowOff>95250</xdr:rowOff>
                  </from>
                  <to>
                    <xdr:col>12</xdr:col>
                    <xdr:colOff>542925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Option Button 131">
              <controlPr defaultSize="0" autoFill="0" autoLine="0" autoPict="0">
                <anchor moveWithCells="1">
                  <from>
                    <xdr:col>12</xdr:col>
                    <xdr:colOff>590550</xdr:colOff>
                    <xdr:row>84</xdr:row>
                    <xdr:rowOff>95250</xdr:rowOff>
                  </from>
                  <to>
                    <xdr:col>16</xdr:col>
                    <xdr:colOff>476250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Option Button 132">
              <controlPr defaultSize="0" autoFill="0" autoLine="0" autoPict="0">
                <anchor moveWithCells="1">
                  <from>
                    <xdr:col>16</xdr:col>
                    <xdr:colOff>523875</xdr:colOff>
                    <xdr:row>84</xdr:row>
                    <xdr:rowOff>95250</xdr:rowOff>
                  </from>
                  <to>
                    <xdr:col>20</xdr:col>
                    <xdr:colOff>409575</xdr:colOff>
                    <xdr:row>85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Group Box 133">
              <controlPr defaultSize="0" autoFill="0" autoPict="0">
                <anchor moveWithCells="1">
                  <from>
                    <xdr:col>1</xdr:col>
                    <xdr:colOff>9525</xdr:colOff>
                    <xdr:row>87</xdr:row>
                    <xdr:rowOff>19050</xdr:rowOff>
                  </from>
                  <to>
                    <xdr:col>20</xdr:col>
                    <xdr:colOff>590550</xdr:colOff>
                    <xdr:row>90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Option Button 134">
              <controlPr defaultSize="0" autoFill="0" autoLine="0" autoPict="0">
                <anchor moveWithCells="1">
                  <from>
                    <xdr:col>1</xdr:col>
                    <xdr:colOff>180975</xdr:colOff>
                    <xdr:row>88</xdr:row>
                    <xdr:rowOff>28575</xdr:rowOff>
                  </from>
                  <to>
                    <xdr:col>5</xdr:col>
                    <xdr:colOff>66675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Option Button 135">
              <controlPr defaultSize="0" autoFill="0" autoLine="0" autoPict="0">
                <anchor moveWithCells="1">
                  <from>
                    <xdr:col>5</xdr:col>
                    <xdr:colOff>114300</xdr:colOff>
                    <xdr:row>88</xdr:row>
                    <xdr:rowOff>28575</xdr:rowOff>
                  </from>
                  <to>
                    <xdr:col>9</xdr:col>
                    <xdr:colOff>0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Option Button 136">
              <controlPr defaultSize="0" autoFill="0" autoLine="0" autoPict="0">
                <anchor moveWithCells="1">
                  <from>
                    <xdr:col>9</xdr:col>
                    <xdr:colOff>47625</xdr:colOff>
                    <xdr:row>88</xdr:row>
                    <xdr:rowOff>28575</xdr:rowOff>
                  </from>
                  <to>
                    <xdr:col>12</xdr:col>
                    <xdr:colOff>542925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Option Button 137">
              <controlPr defaultSize="0" autoFill="0" autoLine="0" autoPict="0">
                <anchor moveWithCells="1">
                  <from>
                    <xdr:col>12</xdr:col>
                    <xdr:colOff>590550</xdr:colOff>
                    <xdr:row>88</xdr:row>
                    <xdr:rowOff>28575</xdr:rowOff>
                  </from>
                  <to>
                    <xdr:col>16</xdr:col>
                    <xdr:colOff>476250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Option Button 138">
              <controlPr defaultSize="0" autoFill="0" autoLine="0" autoPict="0">
                <anchor moveWithCells="1">
                  <from>
                    <xdr:col>16</xdr:col>
                    <xdr:colOff>523875</xdr:colOff>
                    <xdr:row>88</xdr:row>
                    <xdr:rowOff>28575</xdr:rowOff>
                  </from>
                  <to>
                    <xdr:col>20</xdr:col>
                    <xdr:colOff>409575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Group Box 139">
              <controlPr defaultSize="0" autoFill="0" autoPict="0">
                <anchor moveWithCells="1">
                  <from>
                    <xdr:col>1</xdr:col>
                    <xdr:colOff>9525</xdr:colOff>
                    <xdr:row>90</xdr:row>
                    <xdr:rowOff>142875</xdr:rowOff>
                  </from>
                  <to>
                    <xdr:col>20</xdr:col>
                    <xdr:colOff>590550</xdr:colOff>
                    <xdr:row>93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Option Button 140">
              <controlPr defaultSize="0" autoFill="0" autoLine="0" autoPict="0">
                <anchor moveWithCells="1">
                  <from>
                    <xdr:col>1</xdr:col>
                    <xdr:colOff>180975</xdr:colOff>
                    <xdr:row>91</xdr:row>
                    <xdr:rowOff>152400</xdr:rowOff>
                  </from>
                  <to>
                    <xdr:col>5</xdr:col>
                    <xdr:colOff>66675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5" r:id="rId144" name="Option Button 141">
              <controlPr defaultSize="0" autoFill="0" autoLine="0" autoPict="0">
                <anchor moveWithCells="1">
                  <from>
                    <xdr:col>5</xdr:col>
                    <xdr:colOff>114300</xdr:colOff>
                    <xdr:row>91</xdr:row>
                    <xdr:rowOff>152400</xdr:rowOff>
                  </from>
                  <to>
                    <xdr:col>9</xdr:col>
                    <xdr:colOff>0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6" r:id="rId145" name="Option Button 142">
              <controlPr defaultSize="0" autoFill="0" autoLine="0" autoPict="0">
                <anchor moveWithCells="1">
                  <from>
                    <xdr:col>9</xdr:col>
                    <xdr:colOff>47625</xdr:colOff>
                    <xdr:row>91</xdr:row>
                    <xdr:rowOff>152400</xdr:rowOff>
                  </from>
                  <to>
                    <xdr:col>12</xdr:col>
                    <xdr:colOff>542925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7" r:id="rId146" name="Option Button 143">
              <controlPr defaultSize="0" autoFill="0" autoLine="0" autoPict="0">
                <anchor moveWithCells="1">
                  <from>
                    <xdr:col>12</xdr:col>
                    <xdr:colOff>590550</xdr:colOff>
                    <xdr:row>91</xdr:row>
                    <xdr:rowOff>152400</xdr:rowOff>
                  </from>
                  <to>
                    <xdr:col>16</xdr:col>
                    <xdr:colOff>476250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8" r:id="rId147" name="Option Button 144">
              <controlPr defaultSize="0" autoFill="0" autoLine="0" autoPict="0">
                <anchor moveWithCells="1">
                  <from>
                    <xdr:col>16</xdr:col>
                    <xdr:colOff>523875</xdr:colOff>
                    <xdr:row>91</xdr:row>
                    <xdr:rowOff>152400</xdr:rowOff>
                  </from>
                  <to>
                    <xdr:col>20</xdr:col>
                    <xdr:colOff>409575</xdr:colOff>
                    <xdr:row>92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9" r:id="rId148" name="Group Box 145">
              <controlPr defaultSize="0" autoFill="0" autoPict="0">
                <anchor moveWithCells="1">
                  <from>
                    <xdr:col>1</xdr:col>
                    <xdr:colOff>9525</xdr:colOff>
                    <xdr:row>94</xdr:row>
                    <xdr:rowOff>76200</xdr:rowOff>
                  </from>
                  <to>
                    <xdr:col>20</xdr:col>
                    <xdr:colOff>590550</xdr:colOff>
                    <xdr:row>97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0" r:id="rId149" name="Option Button 146">
              <controlPr defaultSize="0" autoFill="0" autoLine="0" autoPict="0">
                <anchor moveWithCells="1">
                  <from>
                    <xdr:col>1</xdr:col>
                    <xdr:colOff>180975</xdr:colOff>
                    <xdr:row>95</xdr:row>
                    <xdr:rowOff>85725</xdr:rowOff>
                  </from>
                  <to>
                    <xdr:col>5</xdr:col>
                    <xdr:colOff>66675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1" r:id="rId150" name="Option Button 147">
              <controlPr defaultSize="0" autoFill="0" autoLine="0" autoPict="0">
                <anchor moveWithCells="1">
                  <from>
                    <xdr:col>5</xdr:col>
                    <xdr:colOff>114300</xdr:colOff>
                    <xdr:row>95</xdr:row>
                    <xdr:rowOff>85725</xdr:rowOff>
                  </from>
                  <to>
                    <xdr:col>9</xdr:col>
                    <xdr:colOff>0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2" r:id="rId151" name="Option Button 148">
              <controlPr defaultSize="0" autoFill="0" autoLine="0" autoPict="0">
                <anchor moveWithCells="1">
                  <from>
                    <xdr:col>9</xdr:col>
                    <xdr:colOff>47625</xdr:colOff>
                    <xdr:row>95</xdr:row>
                    <xdr:rowOff>85725</xdr:rowOff>
                  </from>
                  <to>
                    <xdr:col>12</xdr:col>
                    <xdr:colOff>542925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3" r:id="rId152" name="Option Button 149">
              <controlPr defaultSize="0" autoFill="0" autoLine="0" autoPict="0">
                <anchor moveWithCells="1">
                  <from>
                    <xdr:col>12</xdr:col>
                    <xdr:colOff>590550</xdr:colOff>
                    <xdr:row>95</xdr:row>
                    <xdr:rowOff>85725</xdr:rowOff>
                  </from>
                  <to>
                    <xdr:col>16</xdr:col>
                    <xdr:colOff>476250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4" r:id="rId153" name="Option Button 150">
              <controlPr defaultSize="0" autoFill="0" autoLine="0" autoPict="0">
                <anchor moveWithCells="1">
                  <from>
                    <xdr:col>16</xdr:col>
                    <xdr:colOff>523875</xdr:colOff>
                    <xdr:row>95</xdr:row>
                    <xdr:rowOff>85725</xdr:rowOff>
                  </from>
                  <to>
                    <xdr:col>20</xdr:col>
                    <xdr:colOff>409575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5" r:id="rId154" name="Group Box 151">
              <controlPr defaultSize="0" autoFill="0" autoPict="0">
                <anchor moveWithCells="1">
                  <from>
                    <xdr:col>1</xdr:col>
                    <xdr:colOff>9525</xdr:colOff>
                    <xdr:row>98</xdr:row>
                    <xdr:rowOff>9525</xdr:rowOff>
                  </from>
                  <to>
                    <xdr:col>20</xdr:col>
                    <xdr:colOff>590550</xdr:colOff>
                    <xdr:row>101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6" r:id="rId155" name="Option Button 152">
              <controlPr defaultSize="0" autoFill="0" autoLine="0" autoPict="0">
                <anchor moveWithCells="1">
                  <from>
                    <xdr:col>1</xdr:col>
                    <xdr:colOff>180975</xdr:colOff>
                    <xdr:row>99</xdr:row>
                    <xdr:rowOff>19050</xdr:rowOff>
                  </from>
                  <to>
                    <xdr:col>5</xdr:col>
                    <xdr:colOff>66675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7" r:id="rId156" name="Option Button 153">
              <controlPr defaultSize="0" autoFill="0" autoLine="0" autoPict="0">
                <anchor moveWithCells="1">
                  <from>
                    <xdr:col>5</xdr:col>
                    <xdr:colOff>114300</xdr:colOff>
                    <xdr:row>99</xdr:row>
                    <xdr:rowOff>19050</xdr:rowOff>
                  </from>
                  <to>
                    <xdr:col>9</xdr:col>
                    <xdr:colOff>0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8" r:id="rId157" name="Option Button 154">
              <controlPr defaultSize="0" autoFill="0" autoLine="0" autoPict="0">
                <anchor moveWithCells="1">
                  <from>
                    <xdr:col>9</xdr:col>
                    <xdr:colOff>47625</xdr:colOff>
                    <xdr:row>99</xdr:row>
                    <xdr:rowOff>19050</xdr:rowOff>
                  </from>
                  <to>
                    <xdr:col>12</xdr:col>
                    <xdr:colOff>542925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9" r:id="rId158" name="Option Button 155">
              <controlPr defaultSize="0" autoFill="0" autoLine="0" autoPict="0">
                <anchor moveWithCells="1">
                  <from>
                    <xdr:col>12</xdr:col>
                    <xdr:colOff>590550</xdr:colOff>
                    <xdr:row>99</xdr:row>
                    <xdr:rowOff>19050</xdr:rowOff>
                  </from>
                  <to>
                    <xdr:col>16</xdr:col>
                    <xdr:colOff>476250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0" r:id="rId159" name="Option Button 156">
              <controlPr defaultSize="0" autoFill="0" autoLine="0" autoPict="0">
                <anchor moveWithCells="1">
                  <from>
                    <xdr:col>16</xdr:col>
                    <xdr:colOff>523875</xdr:colOff>
                    <xdr:row>99</xdr:row>
                    <xdr:rowOff>19050</xdr:rowOff>
                  </from>
                  <to>
                    <xdr:col>20</xdr:col>
                    <xdr:colOff>409575</xdr:colOff>
                    <xdr:row>100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1" r:id="rId160" name="Group Box 157">
              <controlPr defaultSize="0" autoFill="0" autoPict="0">
                <anchor moveWithCells="1">
                  <from>
                    <xdr:col>1</xdr:col>
                    <xdr:colOff>9525</xdr:colOff>
                    <xdr:row>101</xdr:row>
                    <xdr:rowOff>133350</xdr:rowOff>
                  </from>
                  <to>
                    <xdr:col>20</xdr:col>
                    <xdr:colOff>590550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2" r:id="rId161" name="Option Button 158">
              <controlPr defaultSize="0" autoFill="0" autoLine="0" autoPict="0">
                <anchor moveWithCells="1">
                  <from>
                    <xdr:col>1</xdr:col>
                    <xdr:colOff>180975</xdr:colOff>
                    <xdr:row>102</xdr:row>
                    <xdr:rowOff>142875</xdr:rowOff>
                  </from>
                  <to>
                    <xdr:col>5</xdr:col>
                    <xdr:colOff>66675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3" r:id="rId162" name="Option Button 159">
              <controlPr defaultSize="0" autoFill="0" autoLine="0" autoPict="0">
                <anchor moveWithCells="1">
                  <from>
                    <xdr:col>5</xdr:col>
                    <xdr:colOff>114300</xdr:colOff>
                    <xdr:row>102</xdr:row>
                    <xdr:rowOff>142875</xdr:rowOff>
                  </from>
                  <to>
                    <xdr:col>9</xdr:col>
                    <xdr:colOff>0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4" r:id="rId163" name="Option Button 160">
              <controlPr defaultSize="0" autoFill="0" autoLine="0" autoPict="0">
                <anchor moveWithCells="1">
                  <from>
                    <xdr:col>9</xdr:col>
                    <xdr:colOff>47625</xdr:colOff>
                    <xdr:row>102</xdr:row>
                    <xdr:rowOff>142875</xdr:rowOff>
                  </from>
                  <to>
                    <xdr:col>12</xdr:col>
                    <xdr:colOff>542925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5" r:id="rId164" name="Option Button 161">
              <controlPr defaultSize="0" autoFill="0" autoLine="0" autoPict="0">
                <anchor moveWithCells="1">
                  <from>
                    <xdr:col>12</xdr:col>
                    <xdr:colOff>590550</xdr:colOff>
                    <xdr:row>102</xdr:row>
                    <xdr:rowOff>142875</xdr:rowOff>
                  </from>
                  <to>
                    <xdr:col>16</xdr:col>
                    <xdr:colOff>476250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6" r:id="rId165" name="Option Button 162">
              <controlPr defaultSize="0" autoFill="0" autoLine="0" autoPict="0">
                <anchor moveWithCells="1">
                  <from>
                    <xdr:col>16</xdr:col>
                    <xdr:colOff>523875</xdr:colOff>
                    <xdr:row>102</xdr:row>
                    <xdr:rowOff>142875</xdr:rowOff>
                  </from>
                  <to>
                    <xdr:col>20</xdr:col>
                    <xdr:colOff>409575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7" r:id="rId166" name="Group Box 163">
              <controlPr defaultSize="0" autoFill="0" autoPict="0">
                <anchor moveWithCells="1">
                  <from>
                    <xdr:col>1</xdr:col>
                    <xdr:colOff>9525</xdr:colOff>
                    <xdr:row>105</xdr:row>
                    <xdr:rowOff>66675</xdr:rowOff>
                  </from>
                  <to>
                    <xdr:col>20</xdr:col>
                    <xdr:colOff>590550</xdr:colOff>
                    <xdr:row>108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8" r:id="rId167" name="Option Button 164">
              <controlPr defaultSize="0" autoFill="0" autoLine="0" autoPict="0">
                <anchor moveWithCells="1">
                  <from>
                    <xdr:col>1</xdr:col>
                    <xdr:colOff>180975</xdr:colOff>
                    <xdr:row>106</xdr:row>
                    <xdr:rowOff>76200</xdr:rowOff>
                  </from>
                  <to>
                    <xdr:col>5</xdr:col>
                    <xdr:colOff>66675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9" r:id="rId168" name="Option Button 165">
              <controlPr defaultSize="0" autoFill="0" autoLine="0" autoPict="0">
                <anchor moveWithCells="1">
                  <from>
                    <xdr:col>5</xdr:col>
                    <xdr:colOff>114300</xdr:colOff>
                    <xdr:row>106</xdr:row>
                    <xdr:rowOff>76200</xdr:rowOff>
                  </from>
                  <to>
                    <xdr:col>9</xdr:col>
                    <xdr:colOff>0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0" r:id="rId169" name="Option Button 166">
              <controlPr defaultSize="0" autoFill="0" autoLine="0" autoPict="0">
                <anchor moveWithCells="1">
                  <from>
                    <xdr:col>9</xdr:col>
                    <xdr:colOff>47625</xdr:colOff>
                    <xdr:row>106</xdr:row>
                    <xdr:rowOff>76200</xdr:rowOff>
                  </from>
                  <to>
                    <xdr:col>12</xdr:col>
                    <xdr:colOff>542925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1" r:id="rId170" name="Option Button 167">
              <controlPr defaultSize="0" autoFill="0" autoLine="0" autoPict="0">
                <anchor moveWithCells="1">
                  <from>
                    <xdr:col>12</xdr:col>
                    <xdr:colOff>590550</xdr:colOff>
                    <xdr:row>106</xdr:row>
                    <xdr:rowOff>76200</xdr:rowOff>
                  </from>
                  <to>
                    <xdr:col>16</xdr:col>
                    <xdr:colOff>476250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2" r:id="rId171" name="Option Button 168">
              <controlPr defaultSize="0" autoFill="0" autoLine="0" autoPict="0">
                <anchor moveWithCells="1">
                  <from>
                    <xdr:col>16</xdr:col>
                    <xdr:colOff>523875</xdr:colOff>
                    <xdr:row>106</xdr:row>
                    <xdr:rowOff>76200</xdr:rowOff>
                  </from>
                  <to>
                    <xdr:col>20</xdr:col>
                    <xdr:colOff>409575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3" r:id="rId172" name="Group Box 169">
              <controlPr defaultSize="0" autoFill="0" autoPict="0">
                <anchor moveWithCells="1">
                  <from>
                    <xdr:col>1</xdr:col>
                    <xdr:colOff>9525</xdr:colOff>
                    <xdr:row>109</xdr:row>
                    <xdr:rowOff>0</xdr:rowOff>
                  </from>
                  <to>
                    <xdr:col>20</xdr:col>
                    <xdr:colOff>590550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4" r:id="rId173" name="Option Button 170">
              <controlPr defaultSize="0" autoFill="0" autoLine="0" autoPict="0">
                <anchor moveWithCells="1">
                  <from>
                    <xdr:col>1</xdr:col>
                    <xdr:colOff>180975</xdr:colOff>
                    <xdr:row>110</xdr:row>
                    <xdr:rowOff>9525</xdr:rowOff>
                  </from>
                  <to>
                    <xdr:col>5</xdr:col>
                    <xdr:colOff>66675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5" r:id="rId174" name="Option Button 171">
              <controlPr defaultSize="0" autoFill="0" autoLine="0" autoPict="0">
                <anchor moveWithCells="1">
                  <from>
                    <xdr:col>5</xdr:col>
                    <xdr:colOff>114300</xdr:colOff>
                    <xdr:row>110</xdr:row>
                    <xdr:rowOff>9525</xdr:rowOff>
                  </from>
                  <to>
                    <xdr:col>9</xdr:col>
                    <xdr:colOff>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6" r:id="rId175" name="Option Button 172">
              <controlPr defaultSize="0" autoFill="0" autoLine="0" autoPict="0">
                <anchor moveWithCells="1">
                  <from>
                    <xdr:col>9</xdr:col>
                    <xdr:colOff>47625</xdr:colOff>
                    <xdr:row>110</xdr:row>
                    <xdr:rowOff>9525</xdr:rowOff>
                  </from>
                  <to>
                    <xdr:col>12</xdr:col>
                    <xdr:colOff>542925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7" r:id="rId176" name="Option Button 173">
              <controlPr defaultSize="0" autoFill="0" autoLine="0" autoPict="0">
                <anchor moveWithCells="1">
                  <from>
                    <xdr:col>12</xdr:col>
                    <xdr:colOff>590550</xdr:colOff>
                    <xdr:row>110</xdr:row>
                    <xdr:rowOff>9525</xdr:rowOff>
                  </from>
                  <to>
                    <xdr:col>16</xdr:col>
                    <xdr:colOff>476250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8" r:id="rId177" name="Option Button 174">
              <controlPr defaultSize="0" autoFill="0" autoLine="0" autoPict="0">
                <anchor moveWithCells="1">
                  <from>
                    <xdr:col>16</xdr:col>
                    <xdr:colOff>523875</xdr:colOff>
                    <xdr:row>110</xdr:row>
                    <xdr:rowOff>9525</xdr:rowOff>
                  </from>
                  <to>
                    <xdr:col>20</xdr:col>
                    <xdr:colOff>409575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9" r:id="rId178" name="Group Box 175">
              <controlPr defaultSize="0" autoFill="0" autoPict="0">
                <anchor moveWithCells="1">
                  <from>
                    <xdr:col>1</xdr:col>
                    <xdr:colOff>9525</xdr:colOff>
                    <xdr:row>112</xdr:row>
                    <xdr:rowOff>123825</xdr:rowOff>
                  </from>
                  <to>
                    <xdr:col>20</xdr:col>
                    <xdr:colOff>590550</xdr:colOff>
                    <xdr:row>115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0" r:id="rId179" name="Option Button 176">
              <controlPr defaultSize="0" autoFill="0" autoLine="0" autoPict="0">
                <anchor moveWithCells="1">
                  <from>
                    <xdr:col>1</xdr:col>
                    <xdr:colOff>180975</xdr:colOff>
                    <xdr:row>113</xdr:row>
                    <xdr:rowOff>133350</xdr:rowOff>
                  </from>
                  <to>
                    <xdr:col>5</xdr:col>
                    <xdr:colOff>66675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1" r:id="rId180" name="Option Button 177">
              <controlPr defaultSize="0" autoFill="0" autoLine="0" autoPict="0">
                <anchor moveWithCells="1">
                  <from>
                    <xdr:col>5</xdr:col>
                    <xdr:colOff>114300</xdr:colOff>
                    <xdr:row>113</xdr:row>
                    <xdr:rowOff>133350</xdr:rowOff>
                  </from>
                  <to>
                    <xdr:col>9</xdr:col>
                    <xdr:colOff>0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2" r:id="rId181" name="Option Button 178">
              <controlPr defaultSize="0" autoFill="0" autoLine="0" autoPict="0">
                <anchor moveWithCells="1">
                  <from>
                    <xdr:col>9</xdr:col>
                    <xdr:colOff>47625</xdr:colOff>
                    <xdr:row>113</xdr:row>
                    <xdr:rowOff>133350</xdr:rowOff>
                  </from>
                  <to>
                    <xdr:col>12</xdr:col>
                    <xdr:colOff>542925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3" r:id="rId182" name="Option Button 179">
              <controlPr defaultSize="0" autoFill="0" autoLine="0" autoPict="0">
                <anchor moveWithCells="1">
                  <from>
                    <xdr:col>12</xdr:col>
                    <xdr:colOff>590550</xdr:colOff>
                    <xdr:row>113</xdr:row>
                    <xdr:rowOff>133350</xdr:rowOff>
                  </from>
                  <to>
                    <xdr:col>16</xdr:col>
                    <xdr:colOff>476250</xdr:colOff>
                    <xdr:row>114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4" r:id="rId183" name="Option Button 180">
              <controlPr defaultSize="0" autoFill="0" autoLine="0" autoPict="0">
                <anchor moveWithCells="1">
                  <from>
                    <xdr:col>16</xdr:col>
                    <xdr:colOff>523875</xdr:colOff>
                    <xdr:row>113</xdr:row>
                    <xdr:rowOff>133350</xdr:rowOff>
                  </from>
                  <to>
                    <xdr:col>20</xdr:col>
                    <xdr:colOff>409575</xdr:colOff>
                    <xdr:row>114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theme="9" tint="-0.249977111117893"/>
  </sheetPr>
  <dimension ref="A1:V32"/>
  <sheetViews>
    <sheetView topLeftCell="B2" zoomScale="70" zoomScaleNormal="70" workbookViewId="0">
      <selection activeCell="H3" sqref="H3:K32"/>
    </sheetView>
  </sheetViews>
  <sheetFormatPr defaultRowHeight="15" x14ac:dyDescent="0.25"/>
  <cols>
    <col min="1" max="1" width="42.140625" style="3" bestFit="1" customWidth="1"/>
    <col min="2" max="2" width="55.42578125" style="3" customWidth="1"/>
    <col min="3" max="7" width="6.7109375" style="3" customWidth="1"/>
    <col min="8" max="10" width="4.140625" style="3" bestFit="1" customWidth="1"/>
    <col min="11" max="11" width="4.140625" style="3" customWidth="1"/>
    <col min="12" max="15" width="6.7109375" style="3" customWidth="1"/>
    <col min="16" max="16" width="10.140625" style="3" bestFit="1" customWidth="1"/>
    <col min="17" max="17" width="4.140625" style="3" bestFit="1" customWidth="1"/>
    <col min="18" max="22" width="4.7109375" style="3" customWidth="1"/>
    <col min="23" max="16384" width="9.140625" style="3"/>
  </cols>
  <sheetData>
    <row r="1" spans="1:22" ht="137.25" x14ac:dyDescent="0.25">
      <c r="A1" s="5" t="s">
        <v>2</v>
      </c>
      <c r="B1" s="6" t="s">
        <v>3</v>
      </c>
      <c r="C1" s="7" t="s">
        <v>0</v>
      </c>
      <c r="D1" s="7" t="s">
        <v>39</v>
      </c>
      <c r="E1" s="7" t="s">
        <v>36</v>
      </c>
      <c r="F1" s="7" t="s">
        <v>38</v>
      </c>
      <c r="G1" s="7" t="s">
        <v>37</v>
      </c>
      <c r="H1" s="7" t="s">
        <v>40</v>
      </c>
      <c r="I1" s="7" t="s">
        <v>41</v>
      </c>
      <c r="J1" s="7" t="s">
        <v>42</v>
      </c>
      <c r="K1" s="7" t="s">
        <v>277</v>
      </c>
      <c r="L1" s="7" t="s">
        <v>40</v>
      </c>
      <c r="M1" s="7" t="s">
        <v>41</v>
      </c>
      <c r="N1" s="7" t="s">
        <v>42</v>
      </c>
      <c r="O1" s="7" t="s">
        <v>277</v>
      </c>
      <c r="P1" s="7" t="s">
        <v>43</v>
      </c>
      <c r="Q1" s="7" t="s">
        <v>1</v>
      </c>
      <c r="R1" s="7" t="s">
        <v>0</v>
      </c>
      <c r="S1" s="7" t="s">
        <v>39</v>
      </c>
      <c r="T1" s="7" t="s">
        <v>36</v>
      </c>
      <c r="U1" s="7" t="s">
        <v>38</v>
      </c>
      <c r="V1" s="9" t="s">
        <v>37</v>
      </c>
    </row>
    <row r="2" spans="1:22" x14ac:dyDescent="0.25">
      <c r="A2" s="1"/>
      <c r="B2" s="1"/>
      <c r="C2" s="4"/>
      <c r="D2" s="4"/>
      <c r="E2" s="4"/>
      <c r="F2" s="4"/>
      <c r="G2" s="4"/>
      <c r="H2" s="2"/>
      <c r="I2" s="2"/>
      <c r="J2" s="2"/>
      <c r="K2" s="2"/>
      <c r="L2" s="2"/>
      <c r="M2" s="2"/>
      <c r="N2" s="2"/>
      <c r="O2" s="2"/>
      <c r="P2" s="2"/>
      <c r="Q2" s="2"/>
      <c r="R2" s="4"/>
      <c r="S2" s="4"/>
      <c r="T2" s="4"/>
      <c r="U2" s="4"/>
      <c r="V2" s="4"/>
    </row>
    <row r="3" spans="1:22" x14ac:dyDescent="0.25">
      <c r="A3" s="108" t="s">
        <v>4</v>
      </c>
      <c r="B3" s="10" t="s">
        <v>259</v>
      </c>
      <c r="C3" s="42">
        <v>0</v>
      </c>
      <c r="D3" s="42">
        <v>0.25</v>
      </c>
      <c r="E3" s="42">
        <v>0.5</v>
      </c>
      <c r="F3" s="42">
        <v>0.8</v>
      </c>
      <c r="G3" s="42">
        <v>1</v>
      </c>
      <c r="H3" s="22"/>
      <c r="I3" s="22"/>
      <c r="J3" s="22"/>
      <c r="K3" s="22"/>
      <c r="L3" s="42" t="b">
        <f>IF(H3=1,0%,IF(H3=2,25%,IF(H3=3,50%,IF(H3=4,80%,IF(H3=5,100%)))))</f>
        <v>0</v>
      </c>
      <c r="M3" s="42" t="b">
        <f>IF(I3=1,0%,IF(I3=2,25%,IF(I3=3,50%,IF(I3=4,80%,IF(I3=5,100%)))))</f>
        <v>0</v>
      </c>
      <c r="N3" s="42" t="b">
        <f>IF(J3=1,0%,IF(J3=2,25%,IF(J3=3,50%,IF(J3=4,80%,IF(J3=5,100%)))))</f>
        <v>0</v>
      </c>
      <c r="O3" s="42" t="b">
        <f>IF(K3=1,0%,IF(K3=2,25%,IF(K3=3,50%,IF(K3=4,80%,IF(K3=5,100%)))))</f>
        <v>0</v>
      </c>
      <c r="P3" s="41" t="e">
        <f t="shared" ref="P3:P8" si="0">AVERAGE(L3:O3)</f>
        <v>#DIV/0!</v>
      </c>
      <c r="Q3" s="11" t="e">
        <f>5-P3</f>
        <v>#DIV/0!</v>
      </c>
      <c r="R3" s="10" t="s">
        <v>6</v>
      </c>
      <c r="S3" s="10" t="s">
        <v>5</v>
      </c>
      <c r="T3" s="10" t="s">
        <v>7</v>
      </c>
      <c r="U3" s="10" t="s">
        <v>8</v>
      </c>
      <c r="V3" s="12" t="s">
        <v>9</v>
      </c>
    </row>
    <row r="4" spans="1:22" x14ac:dyDescent="0.25">
      <c r="A4" s="109"/>
      <c r="B4" s="13" t="s">
        <v>10</v>
      </c>
      <c r="C4" s="43">
        <v>0</v>
      </c>
      <c r="D4" s="43">
        <v>0.25</v>
      </c>
      <c r="E4" s="43">
        <v>0.5</v>
      </c>
      <c r="F4" s="43">
        <v>0.8</v>
      </c>
      <c r="G4" s="43">
        <v>1</v>
      </c>
      <c r="H4" s="23"/>
      <c r="I4" s="23"/>
      <c r="J4" s="23"/>
      <c r="K4" s="23"/>
      <c r="L4" s="43" t="b">
        <f t="shared" ref="L4:L32" si="1">IF(H4=1,0%,IF(H4=2,25%,IF(H4=3,50%,IF(H4=4,80%,IF(H4=5,100%)))))</f>
        <v>0</v>
      </c>
      <c r="M4" s="43" t="b">
        <f t="shared" ref="M4:M32" si="2">IF(I4=1,0%,IF(I4=2,25%,IF(I4=3,50%,IF(I4=4,80%,IF(I4=5,100%)))))</f>
        <v>0</v>
      </c>
      <c r="N4" s="43" t="b">
        <f t="shared" ref="N4:N32" si="3">IF(J4=1,0%,IF(J4=2,25%,IF(J4=3,50%,IF(J4=4,80%,IF(J4=5,100%)))))</f>
        <v>0</v>
      </c>
      <c r="O4" s="43" t="b">
        <f t="shared" ref="O4:O32" si="4">IF(K4=1,0%,IF(K4=2,25%,IF(K4=3,50%,IF(K4=4,80%,IF(K4=5,100%)))))</f>
        <v>0</v>
      </c>
      <c r="P4" s="45" t="e">
        <f t="shared" si="0"/>
        <v>#DIV/0!</v>
      </c>
      <c r="Q4" s="14" t="e">
        <f t="shared" ref="Q4:Q32" si="5">5-P4</f>
        <v>#DIV/0!</v>
      </c>
      <c r="R4" s="10" t="s">
        <v>6</v>
      </c>
      <c r="S4" s="10" t="s">
        <v>5</v>
      </c>
      <c r="T4" s="10" t="s">
        <v>7</v>
      </c>
      <c r="U4" s="10" t="s">
        <v>8</v>
      </c>
      <c r="V4" s="12" t="s">
        <v>9</v>
      </c>
    </row>
    <row r="5" spans="1:22" x14ac:dyDescent="0.25">
      <c r="A5" s="109"/>
      <c r="B5" s="13" t="s">
        <v>11</v>
      </c>
      <c r="C5" s="43">
        <v>0</v>
      </c>
      <c r="D5" s="43">
        <v>0.25</v>
      </c>
      <c r="E5" s="43">
        <v>0.5</v>
      </c>
      <c r="F5" s="43">
        <v>0.8</v>
      </c>
      <c r="G5" s="43">
        <v>1</v>
      </c>
      <c r="H5" s="23"/>
      <c r="I5" s="23"/>
      <c r="J5" s="23"/>
      <c r="K5" s="23"/>
      <c r="L5" s="43" t="b">
        <f t="shared" si="1"/>
        <v>0</v>
      </c>
      <c r="M5" s="43" t="b">
        <f t="shared" si="2"/>
        <v>0</v>
      </c>
      <c r="N5" s="43" t="b">
        <f t="shared" si="3"/>
        <v>0</v>
      </c>
      <c r="O5" s="43" t="b">
        <f t="shared" si="4"/>
        <v>0</v>
      </c>
      <c r="P5" s="45" t="e">
        <f t="shared" si="0"/>
        <v>#DIV/0!</v>
      </c>
      <c r="Q5" s="14" t="e">
        <f t="shared" si="5"/>
        <v>#DIV/0!</v>
      </c>
      <c r="R5" s="10" t="s">
        <v>6</v>
      </c>
      <c r="S5" s="10" t="s">
        <v>5</v>
      </c>
      <c r="T5" s="10" t="s">
        <v>7</v>
      </c>
      <c r="U5" s="10" t="s">
        <v>8</v>
      </c>
      <c r="V5" s="12" t="s">
        <v>9</v>
      </c>
    </row>
    <row r="6" spans="1:22" x14ac:dyDescent="0.25">
      <c r="A6" s="109"/>
      <c r="B6" s="13" t="s">
        <v>12</v>
      </c>
      <c r="C6" s="43">
        <v>0</v>
      </c>
      <c r="D6" s="43">
        <v>0.25</v>
      </c>
      <c r="E6" s="43">
        <v>0.5</v>
      </c>
      <c r="F6" s="43">
        <v>0.8</v>
      </c>
      <c r="G6" s="43">
        <v>1</v>
      </c>
      <c r="H6" s="23"/>
      <c r="I6" s="23"/>
      <c r="J6" s="23"/>
      <c r="K6" s="23"/>
      <c r="L6" s="43" t="b">
        <f t="shared" si="1"/>
        <v>0</v>
      </c>
      <c r="M6" s="43" t="b">
        <f t="shared" si="2"/>
        <v>0</v>
      </c>
      <c r="N6" s="43" t="b">
        <f t="shared" si="3"/>
        <v>0</v>
      </c>
      <c r="O6" s="43" t="b">
        <f t="shared" si="4"/>
        <v>0</v>
      </c>
      <c r="P6" s="45" t="e">
        <f t="shared" si="0"/>
        <v>#DIV/0!</v>
      </c>
      <c r="Q6" s="14" t="e">
        <f t="shared" si="5"/>
        <v>#DIV/0!</v>
      </c>
      <c r="R6" s="10" t="s">
        <v>6</v>
      </c>
      <c r="S6" s="10" t="s">
        <v>5</v>
      </c>
      <c r="T6" s="10" t="s">
        <v>7</v>
      </c>
      <c r="U6" s="10" t="s">
        <v>8</v>
      </c>
      <c r="V6" s="12" t="s">
        <v>9</v>
      </c>
    </row>
    <row r="7" spans="1:22" x14ac:dyDescent="0.25">
      <c r="A7" s="109"/>
      <c r="B7" s="13" t="s">
        <v>284</v>
      </c>
      <c r="C7" s="43">
        <v>0</v>
      </c>
      <c r="D7" s="43">
        <v>0.25</v>
      </c>
      <c r="E7" s="43">
        <v>0.5</v>
      </c>
      <c r="F7" s="43">
        <v>0.8</v>
      </c>
      <c r="G7" s="43">
        <v>1</v>
      </c>
      <c r="H7" s="23"/>
      <c r="I7" s="23"/>
      <c r="J7" s="23"/>
      <c r="K7" s="23"/>
      <c r="L7" s="43" t="b">
        <f t="shared" si="1"/>
        <v>0</v>
      </c>
      <c r="M7" s="43" t="b">
        <f t="shared" si="2"/>
        <v>0</v>
      </c>
      <c r="N7" s="43" t="b">
        <f t="shared" si="3"/>
        <v>0</v>
      </c>
      <c r="O7" s="43" t="b">
        <f t="shared" si="4"/>
        <v>0</v>
      </c>
      <c r="P7" s="45" t="e">
        <f t="shared" si="0"/>
        <v>#DIV/0!</v>
      </c>
      <c r="Q7" s="14" t="e">
        <f t="shared" si="5"/>
        <v>#DIV/0!</v>
      </c>
      <c r="R7" s="10" t="s">
        <v>6</v>
      </c>
      <c r="S7" s="10" t="s">
        <v>5</v>
      </c>
      <c r="T7" s="10" t="s">
        <v>7</v>
      </c>
      <c r="U7" s="10" t="s">
        <v>8</v>
      </c>
      <c r="V7" s="12" t="s">
        <v>9</v>
      </c>
    </row>
    <row r="8" spans="1:22" x14ac:dyDescent="0.25">
      <c r="A8" s="109"/>
      <c r="B8" s="13" t="s">
        <v>13</v>
      </c>
      <c r="C8" s="43">
        <v>0</v>
      </c>
      <c r="D8" s="43">
        <v>0.25</v>
      </c>
      <c r="E8" s="43">
        <v>0.5</v>
      </c>
      <c r="F8" s="43">
        <v>0.8</v>
      </c>
      <c r="G8" s="43">
        <v>1</v>
      </c>
      <c r="H8" s="23"/>
      <c r="I8" s="23"/>
      <c r="J8" s="23"/>
      <c r="K8" s="23"/>
      <c r="L8" s="43" t="b">
        <f t="shared" si="1"/>
        <v>0</v>
      </c>
      <c r="M8" s="43" t="b">
        <f t="shared" si="2"/>
        <v>0</v>
      </c>
      <c r="N8" s="43" t="b">
        <f t="shared" si="3"/>
        <v>0</v>
      </c>
      <c r="O8" s="43" t="b">
        <f t="shared" si="4"/>
        <v>0</v>
      </c>
      <c r="P8" s="45" t="e">
        <f t="shared" si="0"/>
        <v>#DIV/0!</v>
      </c>
      <c r="Q8" s="14" t="e">
        <f t="shared" si="5"/>
        <v>#DIV/0!</v>
      </c>
      <c r="R8" s="10" t="s">
        <v>6</v>
      </c>
      <c r="S8" s="10" t="s">
        <v>5</v>
      </c>
      <c r="T8" s="10" t="s">
        <v>7</v>
      </c>
      <c r="U8" s="10" t="s">
        <v>8</v>
      </c>
      <c r="V8" s="12" t="s">
        <v>9</v>
      </c>
    </row>
    <row r="9" spans="1:22" x14ac:dyDescent="0.25">
      <c r="A9" s="109"/>
      <c r="B9" s="13" t="s">
        <v>14</v>
      </c>
      <c r="C9" s="43">
        <v>0</v>
      </c>
      <c r="D9" s="43">
        <v>0.25</v>
      </c>
      <c r="E9" s="43">
        <v>0.5</v>
      </c>
      <c r="F9" s="43">
        <v>0.8</v>
      </c>
      <c r="G9" s="43">
        <v>1</v>
      </c>
      <c r="H9" s="23"/>
      <c r="I9" s="23"/>
      <c r="J9" s="23"/>
      <c r="K9" s="23"/>
      <c r="L9" s="43" t="b">
        <f t="shared" si="1"/>
        <v>0</v>
      </c>
      <c r="M9" s="43" t="b">
        <f t="shared" si="2"/>
        <v>0</v>
      </c>
      <c r="N9" s="43" t="b">
        <f t="shared" si="3"/>
        <v>0</v>
      </c>
      <c r="O9" s="43" t="b">
        <f t="shared" si="4"/>
        <v>0</v>
      </c>
      <c r="P9" s="45" t="e">
        <f t="shared" ref="P9:P32" si="6">AVERAGE(L9:O9)</f>
        <v>#DIV/0!</v>
      </c>
      <c r="Q9" s="14" t="e">
        <f t="shared" si="5"/>
        <v>#DIV/0!</v>
      </c>
      <c r="R9" s="10" t="s">
        <v>6</v>
      </c>
      <c r="S9" s="10" t="s">
        <v>5</v>
      </c>
      <c r="T9" s="10" t="s">
        <v>7</v>
      </c>
      <c r="U9" s="10" t="s">
        <v>8</v>
      </c>
      <c r="V9" s="12" t="s">
        <v>9</v>
      </c>
    </row>
    <row r="10" spans="1:22" s="21" customFormat="1" x14ac:dyDescent="0.25">
      <c r="A10" s="109"/>
      <c r="B10" s="17" t="s">
        <v>15</v>
      </c>
      <c r="C10" s="44">
        <v>0</v>
      </c>
      <c r="D10" s="44">
        <v>0.25</v>
      </c>
      <c r="E10" s="44">
        <v>0.5</v>
      </c>
      <c r="F10" s="44">
        <v>0.8</v>
      </c>
      <c r="G10" s="44">
        <v>1</v>
      </c>
      <c r="H10" s="24"/>
      <c r="I10" s="24"/>
      <c r="J10" s="24"/>
      <c r="K10" s="24"/>
      <c r="L10" s="44" t="b">
        <f t="shared" si="1"/>
        <v>0</v>
      </c>
      <c r="M10" s="44" t="b">
        <f t="shared" si="2"/>
        <v>0</v>
      </c>
      <c r="N10" s="44" t="b">
        <f t="shared" si="3"/>
        <v>0</v>
      </c>
      <c r="O10" s="44" t="b">
        <f t="shared" si="4"/>
        <v>0</v>
      </c>
      <c r="P10" s="46" t="e">
        <f t="shared" si="6"/>
        <v>#DIV/0!</v>
      </c>
      <c r="Q10" s="18" t="e">
        <f t="shared" si="5"/>
        <v>#DIV/0!</v>
      </c>
      <c r="R10" s="19" t="s">
        <v>6</v>
      </c>
      <c r="S10" s="19" t="s">
        <v>5</v>
      </c>
      <c r="T10" s="19" t="s">
        <v>7</v>
      </c>
      <c r="U10" s="19" t="s">
        <v>8</v>
      </c>
      <c r="V10" s="20" t="s">
        <v>9</v>
      </c>
    </row>
    <row r="11" spans="1:22" s="21" customFormat="1" x14ac:dyDescent="0.25">
      <c r="A11" s="109"/>
      <c r="B11" s="17" t="s">
        <v>16</v>
      </c>
      <c r="C11" s="44">
        <v>0</v>
      </c>
      <c r="D11" s="44">
        <v>0.25</v>
      </c>
      <c r="E11" s="44">
        <v>0.5</v>
      </c>
      <c r="F11" s="44">
        <v>0.8</v>
      </c>
      <c r="G11" s="44">
        <v>1</v>
      </c>
      <c r="H11" s="24"/>
      <c r="I11" s="24"/>
      <c r="J11" s="24"/>
      <c r="K11" s="24"/>
      <c r="L11" s="44" t="b">
        <f t="shared" si="1"/>
        <v>0</v>
      </c>
      <c r="M11" s="44" t="b">
        <f t="shared" si="2"/>
        <v>0</v>
      </c>
      <c r="N11" s="44" t="b">
        <f t="shared" si="3"/>
        <v>0</v>
      </c>
      <c r="O11" s="44" t="b">
        <f t="shared" si="4"/>
        <v>0</v>
      </c>
      <c r="P11" s="46" t="e">
        <f t="shared" si="6"/>
        <v>#DIV/0!</v>
      </c>
      <c r="Q11" s="18" t="e">
        <f t="shared" si="5"/>
        <v>#DIV/0!</v>
      </c>
      <c r="R11" s="19" t="s">
        <v>6</v>
      </c>
      <c r="S11" s="19" t="s">
        <v>5</v>
      </c>
      <c r="T11" s="19" t="s">
        <v>7</v>
      </c>
      <c r="U11" s="19" t="s">
        <v>8</v>
      </c>
      <c r="V11" s="20" t="s">
        <v>9</v>
      </c>
    </row>
    <row r="12" spans="1:22" s="21" customFormat="1" x14ac:dyDescent="0.25">
      <c r="A12" s="109"/>
      <c r="B12" s="17" t="s">
        <v>17</v>
      </c>
      <c r="C12" s="44">
        <v>0</v>
      </c>
      <c r="D12" s="44">
        <v>0.25</v>
      </c>
      <c r="E12" s="44">
        <v>0.5</v>
      </c>
      <c r="F12" s="44">
        <v>0.8</v>
      </c>
      <c r="G12" s="44">
        <v>1</v>
      </c>
      <c r="H12" s="24"/>
      <c r="I12" s="24"/>
      <c r="J12" s="24"/>
      <c r="K12" s="24"/>
      <c r="L12" s="44" t="b">
        <f t="shared" si="1"/>
        <v>0</v>
      </c>
      <c r="M12" s="44" t="b">
        <f t="shared" si="2"/>
        <v>0</v>
      </c>
      <c r="N12" s="44" t="b">
        <f t="shared" si="3"/>
        <v>0</v>
      </c>
      <c r="O12" s="44" t="b">
        <f t="shared" si="4"/>
        <v>0</v>
      </c>
      <c r="P12" s="46" t="e">
        <f t="shared" si="6"/>
        <v>#DIV/0!</v>
      </c>
      <c r="Q12" s="18" t="e">
        <f t="shared" si="5"/>
        <v>#DIV/0!</v>
      </c>
      <c r="R12" s="19" t="s">
        <v>6</v>
      </c>
      <c r="S12" s="19" t="s">
        <v>5</v>
      </c>
      <c r="T12" s="19" t="s">
        <v>7</v>
      </c>
      <c r="U12" s="19" t="s">
        <v>8</v>
      </c>
      <c r="V12" s="20" t="s">
        <v>9</v>
      </c>
    </row>
    <row r="13" spans="1:22" x14ac:dyDescent="0.25">
      <c r="A13" s="109"/>
      <c r="B13" s="13" t="s">
        <v>18</v>
      </c>
      <c r="C13" s="43">
        <v>0</v>
      </c>
      <c r="D13" s="43">
        <v>0.25</v>
      </c>
      <c r="E13" s="43">
        <v>0.5</v>
      </c>
      <c r="F13" s="43">
        <v>0.8</v>
      </c>
      <c r="G13" s="43">
        <v>1</v>
      </c>
      <c r="H13" s="23"/>
      <c r="I13" s="23"/>
      <c r="J13" s="23"/>
      <c r="K13" s="23"/>
      <c r="L13" s="43" t="b">
        <f t="shared" si="1"/>
        <v>0</v>
      </c>
      <c r="M13" s="43" t="b">
        <f t="shared" si="2"/>
        <v>0</v>
      </c>
      <c r="N13" s="43" t="b">
        <f t="shared" si="3"/>
        <v>0</v>
      </c>
      <c r="O13" s="43" t="b">
        <f t="shared" si="4"/>
        <v>0</v>
      </c>
      <c r="P13" s="45" t="e">
        <f t="shared" si="6"/>
        <v>#DIV/0!</v>
      </c>
      <c r="Q13" s="14" t="e">
        <f t="shared" si="5"/>
        <v>#DIV/0!</v>
      </c>
      <c r="R13" s="10" t="s">
        <v>6</v>
      </c>
      <c r="S13" s="10" t="s">
        <v>5</v>
      </c>
      <c r="T13" s="10" t="s">
        <v>7</v>
      </c>
      <c r="U13" s="10" t="s">
        <v>8</v>
      </c>
      <c r="V13" s="12" t="s">
        <v>9</v>
      </c>
    </row>
    <row r="14" spans="1:22" x14ac:dyDescent="0.25">
      <c r="A14" s="109"/>
      <c r="B14" s="13" t="s">
        <v>19</v>
      </c>
      <c r="C14" s="43">
        <v>0</v>
      </c>
      <c r="D14" s="43">
        <v>0.25</v>
      </c>
      <c r="E14" s="43">
        <v>0.5</v>
      </c>
      <c r="F14" s="43">
        <v>0.8</v>
      </c>
      <c r="G14" s="43">
        <v>1</v>
      </c>
      <c r="H14" s="23"/>
      <c r="I14" s="23"/>
      <c r="J14" s="23"/>
      <c r="K14" s="23"/>
      <c r="L14" s="43" t="b">
        <f t="shared" si="1"/>
        <v>0</v>
      </c>
      <c r="M14" s="43" t="b">
        <f t="shared" si="2"/>
        <v>0</v>
      </c>
      <c r="N14" s="43" t="b">
        <f t="shared" si="3"/>
        <v>0</v>
      </c>
      <c r="O14" s="43" t="b">
        <f t="shared" si="4"/>
        <v>0</v>
      </c>
      <c r="P14" s="45" t="e">
        <f t="shared" si="6"/>
        <v>#DIV/0!</v>
      </c>
      <c r="Q14" s="14" t="e">
        <f t="shared" si="5"/>
        <v>#DIV/0!</v>
      </c>
      <c r="R14" s="10" t="s">
        <v>6</v>
      </c>
      <c r="S14" s="10" t="s">
        <v>5</v>
      </c>
      <c r="T14" s="10" t="s">
        <v>7</v>
      </c>
      <c r="U14" s="10" t="s">
        <v>8</v>
      </c>
      <c r="V14" s="12" t="s">
        <v>9</v>
      </c>
    </row>
    <row r="15" spans="1:22" x14ac:dyDescent="0.25">
      <c r="A15" s="109"/>
      <c r="B15" s="13" t="s">
        <v>20</v>
      </c>
      <c r="C15" s="43">
        <v>0</v>
      </c>
      <c r="D15" s="43">
        <v>0.25</v>
      </c>
      <c r="E15" s="43">
        <v>0.5</v>
      </c>
      <c r="F15" s="43">
        <v>0.8</v>
      </c>
      <c r="G15" s="43">
        <v>1</v>
      </c>
      <c r="H15" s="23"/>
      <c r="I15" s="23"/>
      <c r="J15" s="23"/>
      <c r="K15" s="23"/>
      <c r="L15" s="43" t="b">
        <f t="shared" si="1"/>
        <v>0</v>
      </c>
      <c r="M15" s="43" t="b">
        <f t="shared" si="2"/>
        <v>0</v>
      </c>
      <c r="N15" s="43" t="b">
        <f t="shared" si="3"/>
        <v>0</v>
      </c>
      <c r="O15" s="43" t="b">
        <f t="shared" si="4"/>
        <v>0</v>
      </c>
      <c r="P15" s="45" t="e">
        <f t="shared" si="6"/>
        <v>#DIV/0!</v>
      </c>
      <c r="Q15" s="14" t="e">
        <f t="shared" si="5"/>
        <v>#DIV/0!</v>
      </c>
      <c r="R15" s="10" t="s">
        <v>6</v>
      </c>
      <c r="S15" s="10" t="s">
        <v>5</v>
      </c>
      <c r="T15" s="10" t="s">
        <v>7</v>
      </c>
      <c r="U15" s="10" t="s">
        <v>8</v>
      </c>
      <c r="V15" s="12" t="s">
        <v>9</v>
      </c>
    </row>
    <row r="16" spans="1:22" s="21" customFormat="1" x14ac:dyDescent="0.25">
      <c r="A16" s="109"/>
      <c r="B16" s="17" t="s">
        <v>21</v>
      </c>
      <c r="C16" s="44">
        <v>0</v>
      </c>
      <c r="D16" s="44">
        <v>0.25</v>
      </c>
      <c r="E16" s="44">
        <v>0.5</v>
      </c>
      <c r="F16" s="44">
        <v>0.8</v>
      </c>
      <c r="G16" s="44">
        <v>1</v>
      </c>
      <c r="H16" s="24"/>
      <c r="I16" s="24"/>
      <c r="J16" s="24"/>
      <c r="K16" s="24"/>
      <c r="L16" s="44" t="b">
        <f t="shared" si="1"/>
        <v>0</v>
      </c>
      <c r="M16" s="44" t="b">
        <f t="shared" si="2"/>
        <v>0</v>
      </c>
      <c r="N16" s="44" t="b">
        <f t="shared" si="3"/>
        <v>0</v>
      </c>
      <c r="O16" s="44" t="b">
        <f t="shared" si="4"/>
        <v>0</v>
      </c>
      <c r="P16" s="46" t="e">
        <f t="shared" si="6"/>
        <v>#DIV/0!</v>
      </c>
      <c r="Q16" s="18" t="e">
        <f t="shared" si="5"/>
        <v>#DIV/0!</v>
      </c>
      <c r="R16" s="19" t="s">
        <v>6</v>
      </c>
      <c r="S16" s="19" t="s">
        <v>5</v>
      </c>
      <c r="T16" s="19" t="s">
        <v>7</v>
      </c>
      <c r="U16" s="19" t="s">
        <v>8</v>
      </c>
      <c r="V16" s="20" t="s">
        <v>9</v>
      </c>
    </row>
    <row r="17" spans="1:22" x14ac:dyDescent="0.25">
      <c r="A17" s="109"/>
      <c r="B17" s="13" t="s">
        <v>22</v>
      </c>
      <c r="C17" s="43">
        <v>0</v>
      </c>
      <c r="D17" s="43">
        <v>0.25</v>
      </c>
      <c r="E17" s="43">
        <v>0.5</v>
      </c>
      <c r="F17" s="43">
        <v>0.8</v>
      </c>
      <c r="G17" s="43">
        <v>1</v>
      </c>
      <c r="H17" s="23"/>
      <c r="I17" s="23"/>
      <c r="J17" s="23"/>
      <c r="K17" s="23"/>
      <c r="L17" s="43" t="b">
        <f t="shared" si="1"/>
        <v>0</v>
      </c>
      <c r="M17" s="43" t="b">
        <f t="shared" si="2"/>
        <v>0</v>
      </c>
      <c r="N17" s="43" t="b">
        <f t="shared" si="3"/>
        <v>0</v>
      </c>
      <c r="O17" s="43" t="b">
        <f t="shared" si="4"/>
        <v>0</v>
      </c>
      <c r="P17" s="45" t="e">
        <f t="shared" si="6"/>
        <v>#DIV/0!</v>
      </c>
      <c r="Q17" s="14" t="e">
        <f t="shared" si="5"/>
        <v>#DIV/0!</v>
      </c>
      <c r="R17" s="10" t="s">
        <v>6</v>
      </c>
      <c r="S17" s="10" t="s">
        <v>5</v>
      </c>
      <c r="T17" s="10" t="s">
        <v>7</v>
      </c>
      <c r="U17" s="10" t="s">
        <v>8</v>
      </c>
      <c r="V17" s="12" t="s">
        <v>9</v>
      </c>
    </row>
    <row r="18" spans="1:22" x14ac:dyDescent="0.25">
      <c r="A18" s="109"/>
      <c r="B18" s="13" t="s">
        <v>23</v>
      </c>
      <c r="C18" s="43">
        <v>0</v>
      </c>
      <c r="D18" s="43">
        <v>0.25</v>
      </c>
      <c r="E18" s="43">
        <v>0.5</v>
      </c>
      <c r="F18" s="43">
        <v>0.8</v>
      </c>
      <c r="G18" s="43">
        <v>1</v>
      </c>
      <c r="H18" s="23"/>
      <c r="I18" s="23"/>
      <c r="J18" s="23"/>
      <c r="K18" s="23"/>
      <c r="L18" s="43" t="b">
        <f t="shared" si="1"/>
        <v>0</v>
      </c>
      <c r="M18" s="43" t="b">
        <f t="shared" si="2"/>
        <v>0</v>
      </c>
      <c r="N18" s="43" t="b">
        <f t="shared" si="3"/>
        <v>0</v>
      </c>
      <c r="O18" s="43" t="b">
        <f t="shared" si="4"/>
        <v>0</v>
      </c>
      <c r="P18" s="45" t="e">
        <f t="shared" si="6"/>
        <v>#DIV/0!</v>
      </c>
      <c r="Q18" s="14" t="e">
        <f t="shared" si="5"/>
        <v>#DIV/0!</v>
      </c>
      <c r="R18" s="10" t="s">
        <v>6</v>
      </c>
      <c r="S18" s="10" t="s">
        <v>5</v>
      </c>
      <c r="T18" s="10" t="s">
        <v>7</v>
      </c>
      <c r="U18" s="10" t="s">
        <v>8</v>
      </c>
      <c r="V18" s="12" t="s">
        <v>9</v>
      </c>
    </row>
    <row r="19" spans="1:22" x14ac:dyDescent="0.25">
      <c r="A19" s="109"/>
      <c r="B19" s="13" t="s">
        <v>24</v>
      </c>
      <c r="C19" s="43">
        <v>0</v>
      </c>
      <c r="D19" s="43">
        <v>0.25</v>
      </c>
      <c r="E19" s="43">
        <v>0.5</v>
      </c>
      <c r="F19" s="43">
        <v>0.8</v>
      </c>
      <c r="G19" s="43">
        <v>1</v>
      </c>
      <c r="H19" s="23"/>
      <c r="I19" s="23"/>
      <c r="J19" s="23"/>
      <c r="K19" s="23"/>
      <c r="L19" s="43" t="b">
        <f t="shared" si="1"/>
        <v>0</v>
      </c>
      <c r="M19" s="43" t="b">
        <f t="shared" si="2"/>
        <v>0</v>
      </c>
      <c r="N19" s="43" t="b">
        <f t="shared" si="3"/>
        <v>0</v>
      </c>
      <c r="O19" s="43" t="b">
        <f t="shared" si="4"/>
        <v>0</v>
      </c>
      <c r="P19" s="45" t="e">
        <f t="shared" si="6"/>
        <v>#DIV/0!</v>
      </c>
      <c r="Q19" s="14" t="e">
        <f t="shared" si="5"/>
        <v>#DIV/0!</v>
      </c>
      <c r="R19" s="10" t="s">
        <v>6</v>
      </c>
      <c r="S19" s="10" t="s">
        <v>5</v>
      </c>
      <c r="T19" s="10" t="s">
        <v>7</v>
      </c>
      <c r="U19" s="10" t="s">
        <v>8</v>
      </c>
      <c r="V19" s="12" t="s">
        <v>9</v>
      </c>
    </row>
    <row r="20" spans="1:22" s="21" customFormat="1" x14ac:dyDescent="0.25">
      <c r="A20" s="109"/>
      <c r="B20" s="17" t="s">
        <v>25</v>
      </c>
      <c r="C20" s="44">
        <v>0</v>
      </c>
      <c r="D20" s="44">
        <v>0.25</v>
      </c>
      <c r="E20" s="44">
        <v>0.5</v>
      </c>
      <c r="F20" s="44">
        <v>0.8</v>
      </c>
      <c r="G20" s="44">
        <v>1</v>
      </c>
      <c r="H20" s="24"/>
      <c r="I20" s="24"/>
      <c r="J20" s="24"/>
      <c r="K20" s="24"/>
      <c r="L20" s="44" t="b">
        <f t="shared" si="1"/>
        <v>0</v>
      </c>
      <c r="M20" s="44" t="b">
        <f t="shared" si="2"/>
        <v>0</v>
      </c>
      <c r="N20" s="44" t="b">
        <f t="shared" si="3"/>
        <v>0</v>
      </c>
      <c r="O20" s="44" t="b">
        <f t="shared" si="4"/>
        <v>0</v>
      </c>
      <c r="P20" s="46" t="e">
        <f t="shared" si="6"/>
        <v>#DIV/0!</v>
      </c>
      <c r="Q20" s="18" t="e">
        <f t="shared" si="5"/>
        <v>#DIV/0!</v>
      </c>
      <c r="R20" s="19" t="s">
        <v>6</v>
      </c>
      <c r="S20" s="19" t="s">
        <v>5</v>
      </c>
      <c r="T20" s="19" t="s">
        <v>7</v>
      </c>
      <c r="U20" s="19" t="s">
        <v>8</v>
      </c>
      <c r="V20" s="20" t="s">
        <v>9</v>
      </c>
    </row>
    <row r="21" spans="1:22" x14ac:dyDescent="0.25">
      <c r="A21" s="109"/>
      <c r="B21" s="13" t="s">
        <v>26</v>
      </c>
      <c r="C21" s="43">
        <v>0</v>
      </c>
      <c r="D21" s="43">
        <v>0.25</v>
      </c>
      <c r="E21" s="43">
        <v>0.5</v>
      </c>
      <c r="F21" s="43">
        <v>0.8</v>
      </c>
      <c r="G21" s="43">
        <v>1</v>
      </c>
      <c r="H21" s="23"/>
      <c r="I21" s="23"/>
      <c r="J21" s="23"/>
      <c r="K21" s="23"/>
      <c r="L21" s="43" t="b">
        <f t="shared" si="1"/>
        <v>0</v>
      </c>
      <c r="M21" s="43" t="b">
        <f t="shared" si="2"/>
        <v>0</v>
      </c>
      <c r="N21" s="43" t="b">
        <f t="shared" si="3"/>
        <v>0</v>
      </c>
      <c r="O21" s="43" t="b">
        <f t="shared" si="4"/>
        <v>0</v>
      </c>
      <c r="P21" s="45" t="e">
        <f t="shared" si="6"/>
        <v>#DIV/0!</v>
      </c>
      <c r="Q21" s="14" t="e">
        <f t="shared" si="5"/>
        <v>#DIV/0!</v>
      </c>
      <c r="R21" s="10" t="s">
        <v>6</v>
      </c>
      <c r="S21" s="10" t="s">
        <v>5</v>
      </c>
      <c r="T21" s="10" t="s">
        <v>7</v>
      </c>
      <c r="U21" s="10" t="s">
        <v>8</v>
      </c>
      <c r="V21" s="12" t="s">
        <v>9</v>
      </c>
    </row>
    <row r="22" spans="1:22" s="21" customFormat="1" x14ac:dyDescent="0.25">
      <c r="A22" s="109"/>
      <c r="B22" s="17" t="s">
        <v>27</v>
      </c>
      <c r="C22" s="44">
        <v>0</v>
      </c>
      <c r="D22" s="44">
        <v>0.25</v>
      </c>
      <c r="E22" s="44">
        <v>0.5</v>
      </c>
      <c r="F22" s="44">
        <v>0.8</v>
      </c>
      <c r="G22" s="44">
        <v>1</v>
      </c>
      <c r="H22" s="24"/>
      <c r="I22" s="24"/>
      <c r="J22" s="24"/>
      <c r="K22" s="24"/>
      <c r="L22" s="44" t="b">
        <f t="shared" si="1"/>
        <v>0</v>
      </c>
      <c r="M22" s="44" t="b">
        <f t="shared" si="2"/>
        <v>0</v>
      </c>
      <c r="N22" s="44" t="b">
        <f t="shared" si="3"/>
        <v>0</v>
      </c>
      <c r="O22" s="44" t="b">
        <f t="shared" si="4"/>
        <v>0</v>
      </c>
      <c r="P22" s="46" t="e">
        <f t="shared" si="6"/>
        <v>#DIV/0!</v>
      </c>
      <c r="Q22" s="18" t="e">
        <f t="shared" si="5"/>
        <v>#DIV/0!</v>
      </c>
      <c r="R22" s="19" t="s">
        <v>6</v>
      </c>
      <c r="S22" s="19" t="s">
        <v>5</v>
      </c>
      <c r="T22" s="19" t="s">
        <v>7</v>
      </c>
      <c r="U22" s="19" t="s">
        <v>8</v>
      </c>
      <c r="V22" s="20" t="s">
        <v>9</v>
      </c>
    </row>
    <row r="23" spans="1:22" s="21" customFormat="1" x14ac:dyDescent="0.25">
      <c r="A23" s="109"/>
      <c r="B23" s="17" t="s">
        <v>28</v>
      </c>
      <c r="C23" s="44">
        <v>0</v>
      </c>
      <c r="D23" s="44">
        <v>0.25</v>
      </c>
      <c r="E23" s="44">
        <v>0.5</v>
      </c>
      <c r="F23" s="44">
        <v>0.8</v>
      </c>
      <c r="G23" s="44">
        <v>1</v>
      </c>
      <c r="H23" s="24"/>
      <c r="I23" s="24"/>
      <c r="J23" s="24"/>
      <c r="K23" s="24"/>
      <c r="L23" s="44" t="b">
        <f t="shared" si="1"/>
        <v>0</v>
      </c>
      <c r="M23" s="44" t="b">
        <f t="shared" si="2"/>
        <v>0</v>
      </c>
      <c r="N23" s="44" t="b">
        <f t="shared" si="3"/>
        <v>0</v>
      </c>
      <c r="O23" s="44" t="b">
        <f t="shared" si="4"/>
        <v>0</v>
      </c>
      <c r="P23" s="46" t="e">
        <f t="shared" si="6"/>
        <v>#DIV/0!</v>
      </c>
      <c r="Q23" s="18" t="e">
        <f t="shared" si="5"/>
        <v>#DIV/0!</v>
      </c>
      <c r="R23" s="19" t="s">
        <v>6</v>
      </c>
      <c r="S23" s="19" t="s">
        <v>5</v>
      </c>
      <c r="T23" s="19" t="s">
        <v>7</v>
      </c>
      <c r="U23" s="19" t="s">
        <v>8</v>
      </c>
      <c r="V23" s="20" t="s">
        <v>9</v>
      </c>
    </row>
    <row r="24" spans="1:22" s="21" customFormat="1" x14ac:dyDescent="0.25">
      <c r="A24" s="109"/>
      <c r="B24" s="17" t="s">
        <v>29</v>
      </c>
      <c r="C24" s="44">
        <v>0</v>
      </c>
      <c r="D24" s="44">
        <v>0.25</v>
      </c>
      <c r="E24" s="44">
        <v>0.5</v>
      </c>
      <c r="F24" s="44">
        <v>0.8</v>
      </c>
      <c r="G24" s="44">
        <v>1</v>
      </c>
      <c r="H24" s="24"/>
      <c r="I24" s="24"/>
      <c r="J24" s="24"/>
      <c r="K24" s="24"/>
      <c r="L24" s="44" t="b">
        <f t="shared" si="1"/>
        <v>0</v>
      </c>
      <c r="M24" s="44" t="b">
        <f t="shared" si="2"/>
        <v>0</v>
      </c>
      <c r="N24" s="44" t="b">
        <f t="shared" si="3"/>
        <v>0</v>
      </c>
      <c r="O24" s="44" t="b">
        <f t="shared" si="4"/>
        <v>0</v>
      </c>
      <c r="P24" s="46" t="e">
        <f t="shared" si="6"/>
        <v>#DIV/0!</v>
      </c>
      <c r="Q24" s="18" t="e">
        <f t="shared" si="5"/>
        <v>#DIV/0!</v>
      </c>
      <c r="R24" s="19" t="s">
        <v>6</v>
      </c>
      <c r="S24" s="19" t="s">
        <v>5</v>
      </c>
      <c r="T24" s="19" t="s">
        <v>7</v>
      </c>
      <c r="U24" s="19" t="s">
        <v>8</v>
      </c>
      <c r="V24" s="20" t="s">
        <v>9</v>
      </c>
    </row>
    <row r="25" spans="1:22" x14ac:dyDescent="0.25">
      <c r="A25" s="109"/>
      <c r="B25" s="13" t="s">
        <v>30</v>
      </c>
      <c r="C25" s="43">
        <v>0</v>
      </c>
      <c r="D25" s="43">
        <v>0.25</v>
      </c>
      <c r="E25" s="43">
        <v>0.5</v>
      </c>
      <c r="F25" s="43">
        <v>0.8</v>
      </c>
      <c r="G25" s="43">
        <v>1</v>
      </c>
      <c r="H25" s="23"/>
      <c r="I25" s="23"/>
      <c r="J25" s="23"/>
      <c r="K25" s="23"/>
      <c r="L25" s="43" t="b">
        <f t="shared" si="1"/>
        <v>0</v>
      </c>
      <c r="M25" s="43" t="b">
        <f t="shared" si="2"/>
        <v>0</v>
      </c>
      <c r="N25" s="43" t="b">
        <f t="shared" si="3"/>
        <v>0</v>
      </c>
      <c r="O25" s="43" t="b">
        <f t="shared" si="4"/>
        <v>0</v>
      </c>
      <c r="P25" s="45" t="e">
        <f t="shared" si="6"/>
        <v>#DIV/0!</v>
      </c>
      <c r="Q25" s="14" t="e">
        <f t="shared" si="5"/>
        <v>#DIV/0!</v>
      </c>
      <c r="R25" s="10" t="s">
        <v>6</v>
      </c>
      <c r="S25" s="10" t="s">
        <v>5</v>
      </c>
      <c r="T25" s="10" t="s">
        <v>7</v>
      </c>
      <c r="U25" s="10" t="s">
        <v>8</v>
      </c>
      <c r="V25" s="12" t="s">
        <v>9</v>
      </c>
    </row>
    <row r="26" spans="1:22" s="21" customFormat="1" x14ac:dyDescent="0.25">
      <c r="A26" s="109"/>
      <c r="B26" s="17" t="s">
        <v>31</v>
      </c>
      <c r="C26" s="44">
        <v>0</v>
      </c>
      <c r="D26" s="44">
        <v>0.25</v>
      </c>
      <c r="E26" s="44">
        <v>0.5</v>
      </c>
      <c r="F26" s="44">
        <v>0.8</v>
      </c>
      <c r="G26" s="44">
        <v>1</v>
      </c>
      <c r="H26" s="24"/>
      <c r="I26" s="24"/>
      <c r="J26" s="24"/>
      <c r="K26" s="24"/>
      <c r="L26" s="44" t="b">
        <f t="shared" si="1"/>
        <v>0</v>
      </c>
      <c r="M26" s="44" t="b">
        <f t="shared" si="2"/>
        <v>0</v>
      </c>
      <c r="N26" s="44" t="b">
        <f t="shared" si="3"/>
        <v>0</v>
      </c>
      <c r="O26" s="44" t="b">
        <f t="shared" si="4"/>
        <v>0</v>
      </c>
      <c r="P26" s="46" t="e">
        <f t="shared" si="6"/>
        <v>#DIV/0!</v>
      </c>
      <c r="Q26" s="18" t="e">
        <f t="shared" si="5"/>
        <v>#DIV/0!</v>
      </c>
      <c r="R26" s="19" t="s">
        <v>6</v>
      </c>
      <c r="S26" s="19" t="s">
        <v>5</v>
      </c>
      <c r="T26" s="19" t="s">
        <v>7</v>
      </c>
      <c r="U26" s="19" t="s">
        <v>8</v>
      </c>
      <c r="V26" s="20" t="s">
        <v>9</v>
      </c>
    </row>
    <row r="27" spans="1:22" x14ac:dyDescent="0.25">
      <c r="A27" s="109"/>
      <c r="B27" s="13" t="s">
        <v>32</v>
      </c>
      <c r="C27" s="43">
        <v>0</v>
      </c>
      <c r="D27" s="43">
        <v>0.25</v>
      </c>
      <c r="E27" s="43">
        <v>0.5</v>
      </c>
      <c r="F27" s="43">
        <v>0.8</v>
      </c>
      <c r="G27" s="43">
        <v>1</v>
      </c>
      <c r="H27" s="23"/>
      <c r="I27" s="23"/>
      <c r="J27" s="23"/>
      <c r="K27" s="23"/>
      <c r="L27" s="43" t="b">
        <f t="shared" si="1"/>
        <v>0</v>
      </c>
      <c r="M27" s="43" t="b">
        <f t="shared" si="2"/>
        <v>0</v>
      </c>
      <c r="N27" s="43" t="b">
        <f t="shared" si="3"/>
        <v>0</v>
      </c>
      <c r="O27" s="43" t="b">
        <f t="shared" si="4"/>
        <v>0</v>
      </c>
      <c r="P27" s="45" t="e">
        <f t="shared" si="6"/>
        <v>#DIV/0!</v>
      </c>
      <c r="Q27" s="14" t="e">
        <f t="shared" si="5"/>
        <v>#DIV/0!</v>
      </c>
      <c r="R27" s="10" t="s">
        <v>6</v>
      </c>
      <c r="S27" s="10" t="s">
        <v>5</v>
      </c>
      <c r="T27" s="10" t="s">
        <v>7</v>
      </c>
      <c r="U27" s="10" t="s">
        <v>8</v>
      </c>
      <c r="V27" s="12" t="s">
        <v>9</v>
      </c>
    </row>
    <row r="28" spans="1:22" x14ac:dyDescent="0.25">
      <c r="A28" s="109"/>
      <c r="B28" s="13" t="s">
        <v>33</v>
      </c>
      <c r="C28" s="43">
        <v>0</v>
      </c>
      <c r="D28" s="43">
        <v>0.25</v>
      </c>
      <c r="E28" s="43">
        <v>0.5</v>
      </c>
      <c r="F28" s="43">
        <v>0.8</v>
      </c>
      <c r="G28" s="43">
        <v>1</v>
      </c>
      <c r="H28" s="23"/>
      <c r="I28" s="23"/>
      <c r="J28" s="23"/>
      <c r="K28" s="23"/>
      <c r="L28" s="43" t="b">
        <f t="shared" si="1"/>
        <v>0</v>
      </c>
      <c r="M28" s="43" t="b">
        <f t="shared" si="2"/>
        <v>0</v>
      </c>
      <c r="N28" s="43" t="b">
        <f t="shared" si="3"/>
        <v>0</v>
      </c>
      <c r="O28" s="43" t="b">
        <f t="shared" si="4"/>
        <v>0</v>
      </c>
      <c r="P28" s="45" t="e">
        <f t="shared" si="6"/>
        <v>#DIV/0!</v>
      </c>
      <c r="Q28" s="14" t="e">
        <f t="shared" si="5"/>
        <v>#DIV/0!</v>
      </c>
      <c r="R28" s="10" t="s">
        <v>6</v>
      </c>
      <c r="S28" s="10" t="s">
        <v>5</v>
      </c>
      <c r="T28" s="10" t="s">
        <v>7</v>
      </c>
      <c r="U28" s="10" t="s">
        <v>8</v>
      </c>
      <c r="V28" s="12" t="s">
        <v>9</v>
      </c>
    </row>
    <row r="29" spans="1:22" x14ac:dyDescent="0.25">
      <c r="A29" s="109"/>
      <c r="B29" s="13" t="s">
        <v>34</v>
      </c>
      <c r="C29" s="43">
        <v>0</v>
      </c>
      <c r="D29" s="43">
        <v>0.25</v>
      </c>
      <c r="E29" s="43">
        <v>0.5</v>
      </c>
      <c r="F29" s="43">
        <v>0.8</v>
      </c>
      <c r="G29" s="43">
        <v>1</v>
      </c>
      <c r="H29" s="23"/>
      <c r="I29" s="23"/>
      <c r="J29" s="23"/>
      <c r="K29" s="23"/>
      <c r="L29" s="43" t="b">
        <f t="shared" si="1"/>
        <v>0</v>
      </c>
      <c r="M29" s="43" t="b">
        <f t="shared" si="2"/>
        <v>0</v>
      </c>
      <c r="N29" s="43" t="b">
        <f t="shared" si="3"/>
        <v>0</v>
      </c>
      <c r="O29" s="43" t="b">
        <f>IF(K29=1,0%,IF(K29=2,25%,IF(K29=3,50%,IF(K29=4,80%,IF(K29=5,100%)))))</f>
        <v>0</v>
      </c>
      <c r="P29" s="45" t="e">
        <f t="shared" si="6"/>
        <v>#DIV/0!</v>
      </c>
      <c r="Q29" s="14" t="e">
        <f t="shared" si="5"/>
        <v>#DIV/0!</v>
      </c>
      <c r="R29" s="10" t="s">
        <v>6</v>
      </c>
      <c r="S29" s="10" t="s">
        <v>5</v>
      </c>
      <c r="T29" s="10" t="s">
        <v>7</v>
      </c>
      <c r="U29" s="10" t="s">
        <v>8</v>
      </c>
      <c r="V29" s="12" t="s">
        <v>9</v>
      </c>
    </row>
    <row r="30" spans="1:22" x14ac:dyDescent="0.25">
      <c r="A30" s="109"/>
      <c r="B30" s="13" t="s">
        <v>44</v>
      </c>
      <c r="C30" s="43">
        <v>0</v>
      </c>
      <c r="D30" s="43">
        <v>0.25</v>
      </c>
      <c r="E30" s="43">
        <v>0.5</v>
      </c>
      <c r="F30" s="43">
        <v>0.8</v>
      </c>
      <c r="G30" s="43">
        <v>1</v>
      </c>
      <c r="H30" s="23"/>
      <c r="I30" s="23"/>
      <c r="J30" s="23"/>
      <c r="K30" s="23"/>
      <c r="L30" s="43" t="b">
        <f t="shared" si="1"/>
        <v>0</v>
      </c>
      <c r="M30" s="43" t="b">
        <f t="shared" si="2"/>
        <v>0</v>
      </c>
      <c r="N30" s="43" t="b">
        <f t="shared" si="3"/>
        <v>0</v>
      </c>
      <c r="O30" s="43" t="b">
        <f t="shared" si="4"/>
        <v>0</v>
      </c>
      <c r="P30" s="45" t="e">
        <f t="shared" si="6"/>
        <v>#DIV/0!</v>
      </c>
      <c r="Q30" s="14" t="e">
        <f t="shared" si="5"/>
        <v>#DIV/0!</v>
      </c>
      <c r="R30" s="10" t="s">
        <v>6</v>
      </c>
      <c r="S30" s="10" t="s">
        <v>5</v>
      </c>
      <c r="T30" s="10" t="s">
        <v>7</v>
      </c>
      <c r="U30" s="10" t="s">
        <v>8</v>
      </c>
      <c r="V30" s="12" t="s">
        <v>9</v>
      </c>
    </row>
    <row r="31" spans="1:22" x14ac:dyDescent="0.25">
      <c r="A31" s="109"/>
      <c r="B31" s="13" t="s">
        <v>35</v>
      </c>
      <c r="C31" s="43">
        <v>0</v>
      </c>
      <c r="D31" s="43">
        <v>0.25</v>
      </c>
      <c r="E31" s="43">
        <v>0.5</v>
      </c>
      <c r="F31" s="43">
        <v>0.8</v>
      </c>
      <c r="G31" s="43">
        <v>1</v>
      </c>
      <c r="H31" s="23"/>
      <c r="I31" s="23"/>
      <c r="J31" s="23"/>
      <c r="K31" s="23"/>
      <c r="L31" s="43" t="b">
        <f t="shared" si="1"/>
        <v>0</v>
      </c>
      <c r="M31" s="43" t="b">
        <f t="shared" si="2"/>
        <v>0</v>
      </c>
      <c r="N31" s="43" t="b">
        <f t="shared" si="3"/>
        <v>0</v>
      </c>
      <c r="O31" s="43" t="b">
        <f t="shared" si="4"/>
        <v>0</v>
      </c>
      <c r="P31" s="45" t="e">
        <f t="shared" si="6"/>
        <v>#DIV/0!</v>
      </c>
      <c r="Q31" s="14" t="e">
        <f t="shared" si="5"/>
        <v>#DIV/0!</v>
      </c>
      <c r="R31" s="10" t="s">
        <v>6</v>
      </c>
      <c r="S31" s="10" t="s">
        <v>5</v>
      </c>
      <c r="T31" s="10" t="s">
        <v>7</v>
      </c>
      <c r="U31" s="10" t="s">
        <v>8</v>
      </c>
      <c r="V31" s="12" t="s">
        <v>9</v>
      </c>
    </row>
    <row r="32" spans="1:22" s="21" customFormat="1" x14ac:dyDescent="0.25">
      <c r="A32" s="109"/>
      <c r="B32" s="17" t="s">
        <v>260</v>
      </c>
      <c r="C32" s="44">
        <v>0</v>
      </c>
      <c r="D32" s="44">
        <v>0.25</v>
      </c>
      <c r="E32" s="44">
        <v>0.5</v>
      </c>
      <c r="F32" s="44">
        <v>0.8</v>
      </c>
      <c r="G32" s="44">
        <v>1</v>
      </c>
      <c r="H32" s="24"/>
      <c r="I32" s="24"/>
      <c r="J32" s="24"/>
      <c r="K32" s="24"/>
      <c r="L32" s="44" t="b">
        <f t="shared" si="1"/>
        <v>0</v>
      </c>
      <c r="M32" s="44" t="b">
        <f t="shared" si="2"/>
        <v>0</v>
      </c>
      <c r="N32" s="44" t="b">
        <f t="shared" si="3"/>
        <v>0</v>
      </c>
      <c r="O32" s="44" t="b">
        <f t="shared" si="4"/>
        <v>0</v>
      </c>
      <c r="P32" s="46" t="e">
        <f t="shared" si="6"/>
        <v>#DIV/0!</v>
      </c>
      <c r="Q32" s="18" t="e">
        <f t="shared" si="5"/>
        <v>#DIV/0!</v>
      </c>
      <c r="R32" s="19" t="s">
        <v>6</v>
      </c>
      <c r="S32" s="19" t="s">
        <v>5</v>
      </c>
      <c r="T32" s="19" t="s">
        <v>7</v>
      </c>
      <c r="U32" s="19" t="s">
        <v>8</v>
      </c>
      <c r="V32" s="20" t="s">
        <v>9</v>
      </c>
    </row>
  </sheetData>
  <mergeCells count="1">
    <mergeCell ref="A3:A32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theme="9" tint="-0.249977111117893"/>
  </sheetPr>
  <dimension ref="A64:B64"/>
  <sheetViews>
    <sheetView zoomScale="55" zoomScaleNormal="55" workbookViewId="0">
      <selection activeCell="B64" sqref="B64"/>
    </sheetView>
  </sheetViews>
  <sheetFormatPr defaultRowHeight="15" x14ac:dyDescent="0.25"/>
  <cols>
    <col min="1" max="16384" width="9.140625" style="3"/>
  </cols>
  <sheetData>
    <row r="64" spans="1:2" ht="15.75" x14ac:dyDescent="0.25">
      <c r="A64" s="60" t="s">
        <v>283</v>
      </c>
      <c r="B64" s="61" t="e">
        <f>AVERAGE(Consolida_PE!P3:P32)</f>
        <v>#DIV/0!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>
    <tabColor theme="8" tint="0.79998168889431442"/>
  </sheetPr>
  <dimension ref="B1:U114"/>
  <sheetViews>
    <sheetView topLeftCell="T1" zoomScale="130" zoomScaleNormal="130" workbookViewId="0">
      <selection activeCell="AI1" sqref="AI1"/>
    </sheetView>
  </sheetViews>
  <sheetFormatPr defaultRowHeight="15" customHeight="1" x14ac:dyDescent="0.25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 x14ac:dyDescent="0.25"/>
    <row r="2" spans="2:21" ht="22.5" customHeight="1" x14ac:dyDescent="0.25"/>
    <row r="3" spans="2:21" ht="61.5" customHeight="1" x14ac:dyDescent="0.25">
      <c r="B3" s="106" t="s">
        <v>252</v>
      </c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</row>
    <row r="5" spans="2:21" ht="30" customHeight="1" x14ac:dyDescent="0.25">
      <c r="B5" s="105" t="s">
        <v>46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</row>
    <row r="6" spans="2:21" ht="30" customHeight="1" x14ac:dyDescent="0.25"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</row>
    <row r="16" spans="2:21" ht="15" customHeight="1" x14ac:dyDescent="0.25">
      <c r="B16" s="110" t="s">
        <v>291</v>
      </c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2"/>
    </row>
    <row r="17" spans="2:21" ht="15" customHeight="1" x14ac:dyDescent="0.25"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5"/>
    </row>
    <row r="18" spans="2:21" ht="15" customHeight="1" x14ac:dyDescent="0.25">
      <c r="B18" s="116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8"/>
    </row>
    <row r="28" spans="2:21" ht="15" customHeight="1" x14ac:dyDescent="0.25">
      <c r="B28" s="110" t="s">
        <v>291</v>
      </c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2"/>
    </row>
    <row r="29" spans="2:21" ht="15" customHeight="1" x14ac:dyDescent="0.25"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5"/>
    </row>
    <row r="30" spans="2:21" ht="15" customHeight="1" x14ac:dyDescent="0.25">
      <c r="B30" s="116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8"/>
    </row>
    <row r="40" spans="2:21" ht="15" customHeight="1" x14ac:dyDescent="0.25">
      <c r="B40" s="110" t="s">
        <v>276</v>
      </c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2"/>
    </row>
    <row r="41" spans="2:21" ht="15" customHeight="1" x14ac:dyDescent="0.25"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5"/>
    </row>
    <row r="42" spans="2:21" ht="15" customHeight="1" x14ac:dyDescent="0.25">
      <c r="B42" s="116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8"/>
    </row>
    <row r="52" spans="2:21" ht="15" customHeight="1" x14ac:dyDescent="0.25">
      <c r="B52" s="110" t="s">
        <v>313</v>
      </c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2"/>
    </row>
    <row r="53" spans="2:21" ht="15" customHeight="1" x14ac:dyDescent="0.25">
      <c r="B53" s="113"/>
      <c r="C53" s="114"/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5"/>
    </row>
    <row r="54" spans="2:21" ht="15" customHeight="1" x14ac:dyDescent="0.25">
      <c r="B54" s="116"/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8"/>
    </row>
    <row r="64" spans="2:21" ht="15" customHeight="1" x14ac:dyDescent="0.25">
      <c r="B64" s="110" t="s">
        <v>291</v>
      </c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2"/>
    </row>
    <row r="65" spans="2:21" ht="15" customHeight="1" x14ac:dyDescent="0.25">
      <c r="B65" s="113"/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5"/>
    </row>
    <row r="66" spans="2:21" ht="15" customHeight="1" x14ac:dyDescent="0.25">
      <c r="B66" s="116"/>
      <c r="C66" s="117"/>
      <c r="D66" s="117"/>
      <c r="E66" s="117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117"/>
      <c r="Q66" s="117"/>
      <c r="R66" s="117"/>
      <c r="S66" s="117"/>
      <c r="T66" s="117"/>
      <c r="U66" s="118"/>
    </row>
    <row r="76" spans="2:21" ht="15" customHeight="1" x14ac:dyDescent="0.25">
      <c r="B76" s="110" t="s">
        <v>291</v>
      </c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2"/>
    </row>
    <row r="77" spans="2:21" ht="15" customHeight="1" x14ac:dyDescent="0.25">
      <c r="B77" s="113"/>
      <c r="C77" s="114"/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5"/>
    </row>
    <row r="78" spans="2:21" ht="15" customHeight="1" x14ac:dyDescent="0.25">
      <c r="B78" s="116"/>
      <c r="C78" s="117"/>
      <c r="D78" s="117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8"/>
    </row>
    <row r="88" spans="2:21" ht="15" customHeight="1" x14ac:dyDescent="0.25">
      <c r="B88" s="110" t="s">
        <v>276</v>
      </c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2"/>
    </row>
    <row r="89" spans="2:21" ht="15" customHeight="1" x14ac:dyDescent="0.25">
      <c r="B89" s="113"/>
      <c r="C89" s="114"/>
      <c r="D89" s="114"/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5"/>
    </row>
    <row r="90" spans="2:21" ht="15" customHeight="1" x14ac:dyDescent="0.25">
      <c r="B90" s="116"/>
      <c r="C90" s="117"/>
      <c r="D90" s="117"/>
      <c r="E90" s="117"/>
      <c r="F90" s="117"/>
      <c r="G90" s="117"/>
      <c r="H90" s="117"/>
      <c r="I90" s="117"/>
      <c r="J90" s="117"/>
      <c r="K90" s="117"/>
      <c r="L90" s="117"/>
      <c r="M90" s="117"/>
      <c r="N90" s="117"/>
      <c r="O90" s="117"/>
      <c r="P90" s="117"/>
      <c r="Q90" s="117"/>
      <c r="R90" s="117"/>
      <c r="S90" s="117"/>
      <c r="T90" s="117"/>
      <c r="U90" s="118"/>
    </row>
    <row r="100" spans="2:21" ht="15" customHeight="1" x14ac:dyDescent="0.25">
      <c r="B100" s="110" t="s">
        <v>276</v>
      </c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2"/>
    </row>
    <row r="101" spans="2:21" ht="15" customHeight="1" x14ac:dyDescent="0.25">
      <c r="B101" s="113"/>
      <c r="C101" s="114"/>
      <c r="D101" s="114"/>
      <c r="E101" s="114"/>
      <c r="F101" s="114"/>
      <c r="G101" s="114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5"/>
    </row>
    <row r="102" spans="2:21" ht="15" customHeight="1" x14ac:dyDescent="0.25">
      <c r="B102" s="116"/>
      <c r="C102" s="117"/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8"/>
    </row>
    <row r="112" spans="2:21" ht="15" customHeight="1" x14ac:dyDescent="0.25">
      <c r="B112" s="110" t="s">
        <v>276</v>
      </c>
      <c r="C112" s="111"/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2"/>
    </row>
    <row r="113" spans="2:21" ht="15" customHeight="1" x14ac:dyDescent="0.25">
      <c r="B113" s="113"/>
      <c r="C113" s="114"/>
      <c r="D113" s="114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5"/>
    </row>
    <row r="114" spans="2:21" ht="15" customHeight="1" x14ac:dyDescent="0.25">
      <c r="B114" s="116"/>
      <c r="C114" s="117"/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8"/>
    </row>
  </sheetData>
  <mergeCells count="11">
    <mergeCell ref="B112:U114"/>
    <mergeCell ref="B52:U54"/>
    <mergeCell ref="B64:U66"/>
    <mergeCell ref="B76:U78"/>
    <mergeCell ref="B88:U90"/>
    <mergeCell ref="B100:U102"/>
    <mergeCell ref="B3:U3"/>
    <mergeCell ref="B5:U6"/>
    <mergeCell ref="B16:U18"/>
    <mergeCell ref="B28:U30"/>
    <mergeCell ref="B40:U42"/>
  </mergeCells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Group Box 1">
              <controlPr defaultSize="0" autoFill="0" autoPict="0">
                <anchor moveWithCells="1">
                  <from>
                    <xdr:col>1</xdr:col>
                    <xdr:colOff>9525</xdr:colOff>
                    <xdr:row>6</xdr:row>
                    <xdr:rowOff>180975</xdr:rowOff>
                  </from>
                  <to>
                    <xdr:col>20</xdr:col>
                    <xdr:colOff>590550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Option Button 2">
              <controlPr defaultSize="0" autoFill="0" autoLine="0" autoPict="0">
                <anchor moveWithCells="1">
                  <from>
                    <xdr:col>1</xdr:col>
                    <xdr:colOff>180975</xdr:colOff>
                    <xdr:row>8</xdr:row>
                    <xdr:rowOff>0</xdr:rowOff>
                  </from>
                  <to>
                    <xdr:col>20</xdr:col>
                    <xdr:colOff>419100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Option Button 3">
              <controlPr defaultSize="0" autoFill="0" autoLine="0" autoPict="0">
                <anchor moveWithCells="1">
                  <from>
                    <xdr:col>1</xdr:col>
                    <xdr:colOff>180975</xdr:colOff>
                    <xdr:row>9</xdr:row>
                    <xdr:rowOff>123825</xdr:rowOff>
                  </from>
                  <to>
                    <xdr:col>20</xdr:col>
                    <xdr:colOff>419100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Option Button 4">
              <controlPr defaultSize="0" autoFill="0" autoLine="0" autoPict="0">
                <anchor moveWithCells="1">
                  <from>
                    <xdr:col>1</xdr:col>
                    <xdr:colOff>180975</xdr:colOff>
                    <xdr:row>11</xdr:row>
                    <xdr:rowOff>57150</xdr:rowOff>
                  </from>
                  <to>
                    <xdr:col>20</xdr:col>
                    <xdr:colOff>419100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Option Button 5">
              <controlPr defaultSize="0" autoFill="0" autoLine="0" autoPict="0">
                <anchor moveWithCells="1">
                  <from>
                    <xdr:col>1</xdr:col>
                    <xdr:colOff>180975</xdr:colOff>
                    <xdr:row>12</xdr:row>
                    <xdr:rowOff>180975</xdr:rowOff>
                  </from>
                  <to>
                    <xdr:col>20</xdr:col>
                    <xdr:colOff>419100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9" r:id="rId9" name="Option Button 47">
              <controlPr defaultSize="0" autoFill="0" autoLine="0" autoPict="0">
                <anchor moveWithCells="1">
                  <from>
                    <xdr:col>1</xdr:col>
                    <xdr:colOff>180975</xdr:colOff>
                    <xdr:row>19</xdr:row>
                    <xdr:rowOff>123825</xdr:rowOff>
                  </from>
                  <to>
                    <xdr:col>20</xdr:col>
                    <xdr:colOff>419100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0" r:id="rId10" name="Option Button 48">
              <controlPr defaultSize="0" autoFill="0" autoLine="0" autoPict="0">
                <anchor moveWithCells="1">
                  <from>
                    <xdr:col>1</xdr:col>
                    <xdr:colOff>180975</xdr:colOff>
                    <xdr:row>21</xdr:row>
                    <xdr:rowOff>57150</xdr:rowOff>
                  </from>
                  <to>
                    <xdr:col>20</xdr:col>
                    <xdr:colOff>419100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1" r:id="rId11" name="Option Button 49">
              <controlPr defaultSize="0" autoFill="0" autoLine="0" autoPict="0">
                <anchor moveWithCells="1">
                  <from>
                    <xdr:col>1</xdr:col>
                    <xdr:colOff>180975</xdr:colOff>
                    <xdr:row>22</xdr:row>
                    <xdr:rowOff>180975</xdr:rowOff>
                  </from>
                  <to>
                    <xdr:col>20</xdr:col>
                    <xdr:colOff>419100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2" r:id="rId12" name="Option Button 50">
              <controlPr defaultSize="0" autoFill="0" autoLine="0" autoPict="0">
                <anchor moveWithCells="1">
                  <from>
                    <xdr:col>1</xdr:col>
                    <xdr:colOff>180975</xdr:colOff>
                    <xdr:row>24</xdr:row>
                    <xdr:rowOff>114300</xdr:rowOff>
                  </from>
                  <to>
                    <xdr:col>20</xdr:col>
                    <xdr:colOff>419100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3" r:id="rId13" name="Group Box 51">
              <controlPr defaultSize="0" autoFill="0" autoPict="0">
                <anchor moveWithCells="1">
                  <from>
                    <xdr:col>1</xdr:col>
                    <xdr:colOff>9525</xdr:colOff>
                    <xdr:row>30</xdr:row>
                    <xdr:rowOff>123825</xdr:rowOff>
                  </from>
                  <to>
                    <xdr:col>20</xdr:col>
                    <xdr:colOff>590550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4" r:id="rId14" name="Option Button 52">
              <controlPr defaultSize="0" autoFill="0" autoLine="0" autoPict="0">
                <anchor moveWithCells="1">
                  <from>
                    <xdr:col>1</xdr:col>
                    <xdr:colOff>180975</xdr:colOff>
                    <xdr:row>31</xdr:row>
                    <xdr:rowOff>123825</xdr:rowOff>
                  </from>
                  <to>
                    <xdr:col>20</xdr:col>
                    <xdr:colOff>419100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5" r:id="rId15" name="Option Button 53">
              <controlPr defaultSize="0" autoFill="0" autoLine="0" autoPict="0">
                <anchor moveWithCells="1">
                  <from>
                    <xdr:col>1</xdr:col>
                    <xdr:colOff>180975</xdr:colOff>
                    <xdr:row>33</xdr:row>
                    <xdr:rowOff>57150</xdr:rowOff>
                  </from>
                  <to>
                    <xdr:col>20</xdr:col>
                    <xdr:colOff>419100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6" r:id="rId16" name="Option Button 54">
              <controlPr defaultSize="0" autoFill="0" autoLine="0" autoPict="0">
                <anchor moveWithCells="1">
                  <from>
                    <xdr:col>1</xdr:col>
                    <xdr:colOff>180975</xdr:colOff>
                    <xdr:row>34</xdr:row>
                    <xdr:rowOff>180975</xdr:rowOff>
                  </from>
                  <to>
                    <xdr:col>20</xdr:col>
                    <xdr:colOff>419100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7" r:id="rId17" name="Option Button 55">
              <controlPr defaultSize="0" autoFill="0" autoLine="0" autoPict="0">
                <anchor moveWithCells="1">
                  <from>
                    <xdr:col>1</xdr:col>
                    <xdr:colOff>180975</xdr:colOff>
                    <xdr:row>36</xdr:row>
                    <xdr:rowOff>114300</xdr:rowOff>
                  </from>
                  <to>
                    <xdr:col>20</xdr:col>
                    <xdr:colOff>419100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3" r:id="rId18" name="Group Box 61">
              <controlPr defaultSize="0" autoFill="0" autoPict="0">
                <anchor moveWithCells="1">
                  <from>
                    <xdr:col>1</xdr:col>
                    <xdr:colOff>9525</xdr:colOff>
                    <xdr:row>42</xdr:row>
                    <xdr:rowOff>95250</xdr:rowOff>
                  </from>
                  <to>
                    <xdr:col>20</xdr:col>
                    <xdr:colOff>590550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4" r:id="rId19" name="Option Button 62">
              <controlPr defaultSize="0" autoFill="0" autoLine="0" autoPict="0">
                <anchor moveWithCells="1">
                  <from>
                    <xdr:col>1</xdr:col>
                    <xdr:colOff>180975</xdr:colOff>
                    <xdr:row>43</xdr:row>
                    <xdr:rowOff>104775</xdr:rowOff>
                  </from>
                  <to>
                    <xdr:col>20</xdr:col>
                    <xdr:colOff>419100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5" r:id="rId20" name="Option Button 63">
              <controlPr defaultSize="0" autoFill="0" autoLine="0" autoPict="0">
                <anchor moveWithCells="1">
                  <from>
                    <xdr:col>1</xdr:col>
                    <xdr:colOff>180975</xdr:colOff>
                    <xdr:row>45</xdr:row>
                    <xdr:rowOff>38100</xdr:rowOff>
                  </from>
                  <to>
                    <xdr:col>20</xdr:col>
                    <xdr:colOff>419100</xdr:colOff>
                    <xdr:row>46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6" r:id="rId21" name="Option Button 64">
              <controlPr defaultSize="0" autoFill="0" autoLine="0" autoPict="0">
                <anchor moveWithCells="1">
                  <from>
                    <xdr:col>1</xdr:col>
                    <xdr:colOff>180975</xdr:colOff>
                    <xdr:row>46</xdr:row>
                    <xdr:rowOff>161925</xdr:rowOff>
                  </from>
                  <to>
                    <xdr:col>20</xdr:col>
                    <xdr:colOff>419100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7" r:id="rId22" name="Option Button 65">
              <controlPr defaultSize="0" autoFill="0" autoLine="0" autoPict="0">
                <anchor moveWithCells="1">
                  <from>
                    <xdr:col>1</xdr:col>
                    <xdr:colOff>180975</xdr:colOff>
                    <xdr:row>48</xdr:row>
                    <xdr:rowOff>95250</xdr:rowOff>
                  </from>
                  <to>
                    <xdr:col>20</xdr:col>
                    <xdr:colOff>419100</xdr:colOff>
                    <xdr:row>49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8" r:id="rId23" name="Group Box 66">
              <controlPr defaultSize="0" autoFill="0" autoPict="0">
                <anchor moveWithCells="1">
                  <from>
                    <xdr:col>1</xdr:col>
                    <xdr:colOff>9525</xdr:colOff>
                    <xdr:row>54</xdr:row>
                    <xdr:rowOff>95250</xdr:rowOff>
                  </from>
                  <to>
                    <xdr:col>20</xdr:col>
                    <xdr:colOff>590550</xdr:colOff>
                    <xdr:row>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9" r:id="rId24" name="Option Button 67">
              <controlPr defaultSize="0" autoFill="0" autoLine="0" autoPict="0">
                <anchor moveWithCells="1">
                  <from>
                    <xdr:col>1</xdr:col>
                    <xdr:colOff>180975</xdr:colOff>
                    <xdr:row>55</xdr:row>
                    <xdr:rowOff>104775</xdr:rowOff>
                  </from>
                  <to>
                    <xdr:col>20</xdr:col>
                    <xdr:colOff>419100</xdr:colOff>
                    <xdr:row>56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0" r:id="rId25" name="Option Button 68">
              <controlPr defaultSize="0" autoFill="0" autoLine="0" autoPict="0">
                <anchor moveWithCells="1">
                  <from>
                    <xdr:col>1</xdr:col>
                    <xdr:colOff>180975</xdr:colOff>
                    <xdr:row>57</xdr:row>
                    <xdr:rowOff>38100</xdr:rowOff>
                  </from>
                  <to>
                    <xdr:col>20</xdr:col>
                    <xdr:colOff>419100</xdr:colOff>
                    <xdr:row>58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1" r:id="rId26" name="Option Button 69">
              <controlPr defaultSize="0" autoFill="0" autoLine="0" autoPict="0">
                <anchor moveWithCells="1">
                  <from>
                    <xdr:col>1</xdr:col>
                    <xdr:colOff>180975</xdr:colOff>
                    <xdr:row>58</xdr:row>
                    <xdr:rowOff>161925</xdr:rowOff>
                  </from>
                  <to>
                    <xdr:col>20</xdr:col>
                    <xdr:colOff>419100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2" r:id="rId27" name="Option Button 70">
              <controlPr defaultSize="0" autoFill="0" autoLine="0" autoPict="0">
                <anchor moveWithCells="1">
                  <from>
                    <xdr:col>1</xdr:col>
                    <xdr:colOff>180975</xdr:colOff>
                    <xdr:row>60</xdr:row>
                    <xdr:rowOff>95250</xdr:rowOff>
                  </from>
                  <to>
                    <xdr:col>20</xdr:col>
                    <xdr:colOff>419100</xdr:colOff>
                    <xdr:row>61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3" r:id="rId28" name="Group Box 71">
              <controlPr defaultSize="0" autoFill="0" autoPict="0">
                <anchor moveWithCells="1">
                  <from>
                    <xdr:col>1</xdr:col>
                    <xdr:colOff>9525</xdr:colOff>
                    <xdr:row>66</xdr:row>
                    <xdr:rowOff>104775</xdr:rowOff>
                  </from>
                  <to>
                    <xdr:col>20</xdr:col>
                    <xdr:colOff>590550</xdr:colOff>
                    <xdr:row>74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4" r:id="rId29" name="Option Button 72">
              <controlPr defaultSize="0" autoFill="0" autoLine="0" autoPict="0">
                <anchor moveWithCells="1">
                  <from>
                    <xdr:col>1</xdr:col>
                    <xdr:colOff>180975</xdr:colOff>
                    <xdr:row>67</xdr:row>
                    <xdr:rowOff>114300</xdr:rowOff>
                  </from>
                  <to>
                    <xdr:col>20</xdr:col>
                    <xdr:colOff>419100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5" r:id="rId30" name="Option Button 73">
              <controlPr defaultSize="0" autoFill="0" autoLine="0" autoPict="0">
                <anchor moveWithCells="1">
                  <from>
                    <xdr:col>1</xdr:col>
                    <xdr:colOff>180975</xdr:colOff>
                    <xdr:row>69</xdr:row>
                    <xdr:rowOff>47625</xdr:rowOff>
                  </from>
                  <to>
                    <xdr:col>20</xdr:col>
                    <xdr:colOff>419100</xdr:colOff>
                    <xdr:row>70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6" r:id="rId31" name="Option Button 74">
              <controlPr defaultSize="0" autoFill="0" autoLine="0" autoPict="0">
                <anchor moveWithCells="1">
                  <from>
                    <xdr:col>1</xdr:col>
                    <xdr:colOff>180975</xdr:colOff>
                    <xdr:row>70</xdr:row>
                    <xdr:rowOff>171450</xdr:rowOff>
                  </from>
                  <to>
                    <xdr:col>20</xdr:col>
                    <xdr:colOff>419100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7" r:id="rId32" name="Option Button 75">
              <controlPr defaultSize="0" autoFill="0" autoLine="0" autoPict="0">
                <anchor moveWithCells="1">
                  <from>
                    <xdr:col>1</xdr:col>
                    <xdr:colOff>180975</xdr:colOff>
                    <xdr:row>72</xdr:row>
                    <xdr:rowOff>104775</xdr:rowOff>
                  </from>
                  <to>
                    <xdr:col>20</xdr:col>
                    <xdr:colOff>419100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8" r:id="rId33" name="Group Box 76">
              <controlPr defaultSize="0" autoFill="0" autoPict="0">
                <anchor moveWithCells="1">
                  <from>
                    <xdr:col>1</xdr:col>
                    <xdr:colOff>9525</xdr:colOff>
                    <xdr:row>78</xdr:row>
                    <xdr:rowOff>114300</xdr:rowOff>
                  </from>
                  <to>
                    <xdr:col>20</xdr:col>
                    <xdr:colOff>590550</xdr:colOff>
                    <xdr:row>86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9" r:id="rId34" name="Option Button 77">
              <controlPr defaultSize="0" autoFill="0" autoLine="0" autoPict="0">
                <anchor moveWithCells="1">
                  <from>
                    <xdr:col>1</xdr:col>
                    <xdr:colOff>180975</xdr:colOff>
                    <xdr:row>79</xdr:row>
                    <xdr:rowOff>123825</xdr:rowOff>
                  </from>
                  <to>
                    <xdr:col>20</xdr:col>
                    <xdr:colOff>419100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0" r:id="rId35" name="Option Button 78">
              <controlPr defaultSize="0" autoFill="0" autoLine="0" autoPict="0">
                <anchor moveWithCells="1">
                  <from>
                    <xdr:col>1</xdr:col>
                    <xdr:colOff>180975</xdr:colOff>
                    <xdr:row>81</xdr:row>
                    <xdr:rowOff>57150</xdr:rowOff>
                  </from>
                  <to>
                    <xdr:col>20</xdr:col>
                    <xdr:colOff>419100</xdr:colOff>
                    <xdr:row>82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1" r:id="rId36" name="Option Button 79">
              <controlPr defaultSize="0" autoFill="0" autoLine="0" autoPict="0">
                <anchor moveWithCells="1">
                  <from>
                    <xdr:col>1</xdr:col>
                    <xdr:colOff>180975</xdr:colOff>
                    <xdr:row>82</xdr:row>
                    <xdr:rowOff>180975</xdr:rowOff>
                  </from>
                  <to>
                    <xdr:col>20</xdr:col>
                    <xdr:colOff>419100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2" r:id="rId37" name="Option Button 80">
              <controlPr defaultSize="0" autoFill="0" autoLine="0" autoPict="0">
                <anchor moveWithCells="1">
                  <from>
                    <xdr:col>1</xdr:col>
                    <xdr:colOff>180975</xdr:colOff>
                    <xdr:row>84</xdr:row>
                    <xdr:rowOff>114300</xdr:rowOff>
                  </from>
                  <to>
                    <xdr:col>20</xdr:col>
                    <xdr:colOff>419100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3" r:id="rId38" name="Group Box 81">
              <controlPr defaultSize="0" autoFill="0" autoPict="0">
                <anchor moveWithCells="1">
                  <from>
                    <xdr:col>1</xdr:col>
                    <xdr:colOff>9525</xdr:colOff>
                    <xdr:row>90</xdr:row>
                    <xdr:rowOff>114300</xdr:rowOff>
                  </from>
                  <to>
                    <xdr:col>20</xdr:col>
                    <xdr:colOff>590550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4" r:id="rId39" name="Option Button 82">
              <controlPr defaultSize="0" autoFill="0" autoLine="0" autoPict="0">
                <anchor moveWithCells="1">
                  <from>
                    <xdr:col>1</xdr:col>
                    <xdr:colOff>180975</xdr:colOff>
                    <xdr:row>91</xdr:row>
                    <xdr:rowOff>123825</xdr:rowOff>
                  </from>
                  <to>
                    <xdr:col>20</xdr:col>
                    <xdr:colOff>419100</xdr:colOff>
                    <xdr:row>92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5" r:id="rId40" name="Option Button 83">
              <controlPr defaultSize="0" autoFill="0" autoLine="0" autoPict="0">
                <anchor moveWithCells="1">
                  <from>
                    <xdr:col>1</xdr:col>
                    <xdr:colOff>180975</xdr:colOff>
                    <xdr:row>93</xdr:row>
                    <xdr:rowOff>57150</xdr:rowOff>
                  </from>
                  <to>
                    <xdr:col>20</xdr:col>
                    <xdr:colOff>419100</xdr:colOff>
                    <xdr:row>94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6" r:id="rId41" name="Option Button 84">
              <controlPr defaultSize="0" autoFill="0" autoLine="0" autoPict="0">
                <anchor moveWithCells="1">
                  <from>
                    <xdr:col>1</xdr:col>
                    <xdr:colOff>180975</xdr:colOff>
                    <xdr:row>94</xdr:row>
                    <xdr:rowOff>180975</xdr:rowOff>
                  </from>
                  <to>
                    <xdr:col>20</xdr:col>
                    <xdr:colOff>419100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7" r:id="rId42" name="Option Button 85">
              <controlPr defaultSize="0" autoFill="0" autoLine="0" autoPict="0">
                <anchor moveWithCells="1">
                  <from>
                    <xdr:col>1</xdr:col>
                    <xdr:colOff>180975</xdr:colOff>
                    <xdr:row>96</xdr:row>
                    <xdr:rowOff>114300</xdr:rowOff>
                  </from>
                  <to>
                    <xdr:col>20</xdr:col>
                    <xdr:colOff>419100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8" r:id="rId43" name="Group Box 86">
              <controlPr defaultSize="0" autoFill="0" autoPict="0" altText="9. Reconhecimento e incentivo entre os empreendedores são praticados à medida que os resultados esperados são alcançados (regra clara na partilha dos resultados positivos e negativos).[NÃO SE APLICA À MODALIDADE DE PRÉ-INCUBAÇÃO]">
                <anchor moveWithCells="1">
                  <from>
                    <xdr:col>1</xdr:col>
                    <xdr:colOff>9525</xdr:colOff>
                    <xdr:row>102</xdr:row>
                    <xdr:rowOff>95250</xdr:rowOff>
                  </from>
                  <to>
                    <xdr:col>20</xdr:col>
                    <xdr:colOff>590550</xdr:colOff>
                    <xdr:row>110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9" r:id="rId44" name="Option Button 87">
              <controlPr defaultSize="0" autoFill="0" autoLine="0" autoPict="0">
                <anchor moveWithCells="1">
                  <from>
                    <xdr:col>1</xdr:col>
                    <xdr:colOff>180975</xdr:colOff>
                    <xdr:row>103</xdr:row>
                    <xdr:rowOff>104775</xdr:rowOff>
                  </from>
                  <to>
                    <xdr:col>20</xdr:col>
                    <xdr:colOff>419100</xdr:colOff>
                    <xdr:row>104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0" r:id="rId45" name="Option Button 88">
              <controlPr defaultSize="0" autoFill="0" autoLine="0" autoPict="0">
                <anchor moveWithCells="1">
                  <from>
                    <xdr:col>1</xdr:col>
                    <xdr:colOff>180975</xdr:colOff>
                    <xdr:row>105</xdr:row>
                    <xdr:rowOff>38100</xdr:rowOff>
                  </from>
                  <to>
                    <xdr:col>20</xdr:col>
                    <xdr:colOff>419100</xdr:colOff>
                    <xdr:row>106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1" r:id="rId46" name="Option Button 89">
              <controlPr defaultSize="0" autoFill="0" autoLine="0" autoPict="0">
                <anchor moveWithCells="1">
                  <from>
                    <xdr:col>1</xdr:col>
                    <xdr:colOff>180975</xdr:colOff>
                    <xdr:row>106</xdr:row>
                    <xdr:rowOff>161925</xdr:rowOff>
                  </from>
                  <to>
                    <xdr:col>20</xdr:col>
                    <xdr:colOff>419100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2" r:id="rId47" name="Option Button 90">
              <controlPr defaultSize="0" autoFill="0" autoLine="0" autoPict="0">
                <anchor moveWithCells="1">
                  <from>
                    <xdr:col>1</xdr:col>
                    <xdr:colOff>180975</xdr:colOff>
                    <xdr:row>108</xdr:row>
                    <xdr:rowOff>95250</xdr:rowOff>
                  </from>
                  <to>
                    <xdr:col>20</xdr:col>
                    <xdr:colOff>419100</xdr:colOff>
                    <xdr:row>109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3" r:id="rId48" name="Group Box 91">
              <controlPr defaultSize="0" autoFill="0" autoPict="0">
                <anchor moveWithCells="1">
                  <from>
                    <xdr:col>1</xdr:col>
                    <xdr:colOff>9525</xdr:colOff>
                    <xdr:row>18</xdr:row>
                    <xdr:rowOff>114300</xdr:rowOff>
                  </from>
                  <to>
                    <xdr:col>20</xdr:col>
                    <xdr:colOff>590550</xdr:colOff>
                    <xdr:row>26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theme="8" tint="0.79998168889431442"/>
  </sheetPr>
  <dimension ref="B1:U90"/>
  <sheetViews>
    <sheetView topLeftCell="F74" zoomScale="130" zoomScaleNormal="130" workbookViewId="0">
      <selection activeCell="U93" sqref="U93"/>
    </sheetView>
  </sheetViews>
  <sheetFormatPr defaultRowHeight="15" customHeight="1" x14ac:dyDescent="0.25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 x14ac:dyDescent="0.25"/>
    <row r="2" spans="2:21" ht="22.5" customHeight="1" x14ac:dyDescent="0.25"/>
    <row r="3" spans="2:21" ht="61.5" customHeight="1" x14ac:dyDescent="0.25">
      <c r="B3" s="106" t="s">
        <v>253</v>
      </c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</row>
    <row r="5" spans="2:21" ht="30" customHeight="1" x14ac:dyDescent="0.25">
      <c r="B5" s="105" t="s">
        <v>49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</row>
    <row r="6" spans="2:21" ht="30" customHeight="1" x14ac:dyDescent="0.25"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</row>
    <row r="16" spans="2:21" ht="15" customHeight="1" x14ac:dyDescent="0.25">
      <c r="B16" s="110" t="s">
        <v>276</v>
      </c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2"/>
    </row>
    <row r="17" spans="2:21" ht="15" customHeight="1" x14ac:dyDescent="0.25"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5"/>
    </row>
    <row r="18" spans="2:21" ht="15" customHeight="1" x14ac:dyDescent="0.25">
      <c r="B18" s="116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8"/>
    </row>
    <row r="28" spans="2:21" ht="15" customHeight="1" x14ac:dyDescent="0.25">
      <c r="B28" s="110" t="s">
        <v>276</v>
      </c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2"/>
    </row>
    <row r="29" spans="2:21" ht="15" customHeight="1" x14ac:dyDescent="0.25"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5"/>
    </row>
    <row r="30" spans="2:21" ht="15" customHeight="1" x14ac:dyDescent="0.25">
      <c r="B30" s="116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8"/>
    </row>
    <row r="40" spans="2:21" ht="15" customHeight="1" x14ac:dyDescent="0.25">
      <c r="B40" s="110" t="s">
        <v>276</v>
      </c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2"/>
    </row>
    <row r="41" spans="2:21" ht="15" customHeight="1" x14ac:dyDescent="0.25"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5"/>
    </row>
    <row r="42" spans="2:21" ht="15" customHeight="1" x14ac:dyDescent="0.25">
      <c r="B42" s="116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8"/>
    </row>
    <row r="52" spans="2:21" ht="15" customHeight="1" x14ac:dyDescent="0.25">
      <c r="B52" s="110" t="s">
        <v>276</v>
      </c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2"/>
    </row>
    <row r="53" spans="2:21" ht="15" customHeight="1" x14ac:dyDescent="0.25">
      <c r="B53" s="113"/>
      <c r="C53" s="114"/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5"/>
    </row>
    <row r="54" spans="2:21" ht="15" customHeight="1" x14ac:dyDescent="0.25">
      <c r="B54" s="116"/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8"/>
    </row>
    <row r="64" spans="2:21" ht="15" customHeight="1" x14ac:dyDescent="0.25">
      <c r="B64" s="110" t="s">
        <v>276</v>
      </c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2"/>
    </row>
    <row r="65" spans="2:21" ht="15" customHeight="1" x14ac:dyDescent="0.25">
      <c r="B65" s="113"/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5"/>
    </row>
    <row r="66" spans="2:21" ht="15" customHeight="1" x14ac:dyDescent="0.25">
      <c r="B66" s="116"/>
      <c r="C66" s="117"/>
      <c r="D66" s="117"/>
      <c r="E66" s="117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117"/>
      <c r="Q66" s="117"/>
      <c r="R66" s="117"/>
      <c r="S66" s="117"/>
      <c r="T66" s="117"/>
      <c r="U66" s="118"/>
    </row>
    <row r="76" spans="2:21" ht="15" customHeight="1" x14ac:dyDescent="0.25">
      <c r="B76" s="110" t="s">
        <v>319</v>
      </c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2"/>
    </row>
    <row r="77" spans="2:21" ht="15" customHeight="1" x14ac:dyDescent="0.25">
      <c r="B77" s="113"/>
      <c r="C77" s="114"/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5"/>
    </row>
    <row r="78" spans="2:21" ht="15" customHeight="1" x14ac:dyDescent="0.25">
      <c r="B78" s="116"/>
      <c r="C78" s="117"/>
      <c r="D78" s="117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8"/>
    </row>
    <row r="88" spans="2:21" ht="15" customHeight="1" x14ac:dyDescent="0.25">
      <c r="B88" s="110" t="s">
        <v>276</v>
      </c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2"/>
    </row>
    <row r="89" spans="2:21" ht="15" customHeight="1" x14ac:dyDescent="0.25">
      <c r="B89" s="113"/>
      <c r="C89" s="114"/>
      <c r="D89" s="114"/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5"/>
    </row>
    <row r="90" spans="2:21" ht="15" customHeight="1" x14ac:dyDescent="0.25">
      <c r="B90" s="116"/>
      <c r="C90" s="117"/>
      <c r="D90" s="117"/>
      <c r="E90" s="117"/>
      <c r="F90" s="117"/>
      <c r="G90" s="117"/>
      <c r="H90" s="117"/>
      <c r="I90" s="117"/>
      <c r="J90" s="117"/>
      <c r="K90" s="117"/>
      <c r="L90" s="117"/>
      <c r="M90" s="117"/>
      <c r="N90" s="117"/>
      <c r="O90" s="117"/>
      <c r="P90" s="117"/>
      <c r="Q90" s="117"/>
      <c r="R90" s="117"/>
      <c r="S90" s="117"/>
      <c r="T90" s="117"/>
      <c r="U90" s="118"/>
    </row>
  </sheetData>
  <mergeCells count="9">
    <mergeCell ref="B52:U54"/>
    <mergeCell ref="B64:U66"/>
    <mergeCell ref="B76:U78"/>
    <mergeCell ref="B88:U90"/>
    <mergeCell ref="B3:U3"/>
    <mergeCell ref="B5:U6"/>
    <mergeCell ref="B16:U18"/>
    <mergeCell ref="B28:U30"/>
    <mergeCell ref="B40:U42"/>
  </mergeCells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Group Box 1">
              <controlPr defaultSize="0" autoFill="0" autoPict="0">
                <anchor moveWithCells="1">
                  <from>
                    <xdr:col>1</xdr:col>
                    <xdr:colOff>9525</xdr:colOff>
                    <xdr:row>6</xdr:row>
                    <xdr:rowOff>180975</xdr:rowOff>
                  </from>
                  <to>
                    <xdr:col>20</xdr:col>
                    <xdr:colOff>590550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Option Button 2">
              <controlPr defaultSize="0" autoFill="0" autoLine="0" autoPict="0">
                <anchor moveWithCells="1">
                  <from>
                    <xdr:col>1</xdr:col>
                    <xdr:colOff>180975</xdr:colOff>
                    <xdr:row>8</xdr:row>
                    <xdr:rowOff>0</xdr:rowOff>
                  </from>
                  <to>
                    <xdr:col>20</xdr:col>
                    <xdr:colOff>419100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Option Button 3">
              <controlPr defaultSize="0" autoFill="0" autoLine="0" autoPict="0">
                <anchor moveWithCells="1">
                  <from>
                    <xdr:col>1</xdr:col>
                    <xdr:colOff>180975</xdr:colOff>
                    <xdr:row>9</xdr:row>
                    <xdr:rowOff>123825</xdr:rowOff>
                  </from>
                  <to>
                    <xdr:col>20</xdr:col>
                    <xdr:colOff>419100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Option Button 4">
              <controlPr defaultSize="0" autoFill="0" autoLine="0" autoPict="0">
                <anchor moveWithCells="1">
                  <from>
                    <xdr:col>1</xdr:col>
                    <xdr:colOff>180975</xdr:colOff>
                    <xdr:row>11</xdr:row>
                    <xdr:rowOff>57150</xdr:rowOff>
                  </from>
                  <to>
                    <xdr:col>20</xdr:col>
                    <xdr:colOff>419100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Option Button 5">
              <controlPr defaultSize="0" autoFill="0" autoLine="0" autoPict="0">
                <anchor moveWithCells="1">
                  <from>
                    <xdr:col>1</xdr:col>
                    <xdr:colOff>180975</xdr:colOff>
                    <xdr:row>12</xdr:row>
                    <xdr:rowOff>180975</xdr:rowOff>
                  </from>
                  <to>
                    <xdr:col>20</xdr:col>
                    <xdr:colOff>419100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9" name="Group Box 61">
              <controlPr defaultSize="0" autoFill="0" autoPict="0">
                <anchor mov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20</xdr:col>
                    <xdr:colOff>590550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10" name="Option Button 62">
              <controlPr defaultSize="0" autoFill="0" autoLine="0" autoPict="0">
                <anchor moveWithCells="1">
                  <from>
                    <xdr:col>1</xdr:col>
                    <xdr:colOff>180975</xdr:colOff>
                    <xdr:row>19</xdr:row>
                    <xdr:rowOff>104775</xdr:rowOff>
                  </from>
                  <to>
                    <xdr:col>20</xdr:col>
                    <xdr:colOff>419100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11" name="Option Button 63">
              <controlPr defaultSize="0" autoFill="0" autoLine="0" autoPict="0">
                <anchor moveWithCells="1">
                  <from>
                    <xdr:col>1</xdr:col>
                    <xdr:colOff>180975</xdr:colOff>
                    <xdr:row>21</xdr:row>
                    <xdr:rowOff>38100</xdr:rowOff>
                  </from>
                  <to>
                    <xdr:col>20</xdr:col>
                    <xdr:colOff>419100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12" name="Option Button 64">
              <controlPr defaultSize="0" autoFill="0" autoLine="0" autoPict="0">
                <anchor moveWithCells="1">
                  <from>
                    <xdr:col>1</xdr:col>
                    <xdr:colOff>180975</xdr:colOff>
                    <xdr:row>22</xdr:row>
                    <xdr:rowOff>161925</xdr:rowOff>
                  </from>
                  <to>
                    <xdr:col>20</xdr:col>
                    <xdr:colOff>419100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13" name="Option Button 65">
              <controlPr defaultSize="0" autoFill="0" autoLine="0" autoPict="0">
                <anchor moveWithCells="1">
                  <from>
                    <xdr:col>1</xdr:col>
                    <xdr:colOff>180975</xdr:colOff>
                    <xdr:row>24</xdr:row>
                    <xdr:rowOff>95250</xdr:rowOff>
                  </from>
                  <to>
                    <xdr:col>20</xdr:col>
                    <xdr:colOff>419100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14" name="Group Box 66">
              <controlPr defaultSize="0" autoFill="0" autoPict="0">
                <anchor moveWithCells="1">
                  <from>
                    <xdr:col>1</xdr:col>
                    <xdr:colOff>9525</xdr:colOff>
                    <xdr:row>30</xdr:row>
                    <xdr:rowOff>85725</xdr:rowOff>
                  </from>
                  <to>
                    <xdr:col>20</xdr:col>
                    <xdr:colOff>590550</xdr:colOff>
                    <xdr:row>38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15" name="Option Button 67">
              <controlPr defaultSize="0" autoFill="0" autoLine="0" autoPict="0">
                <anchor moveWithCells="1">
                  <from>
                    <xdr:col>1</xdr:col>
                    <xdr:colOff>180975</xdr:colOff>
                    <xdr:row>31</xdr:row>
                    <xdr:rowOff>114300</xdr:rowOff>
                  </from>
                  <to>
                    <xdr:col>20</xdr:col>
                    <xdr:colOff>419100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16" name="Option Button 68">
              <controlPr defaultSize="0" autoFill="0" autoLine="0" autoPict="0">
                <anchor moveWithCells="1">
                  <from>
                    <xdr:col>1</xdr:col>
                    <xdr:colOff>180975</xdr:colOff>
                    <xdr:row>33</xdr:row>
                    <xdr:rowOff>47625</xdr:rowOff>
                  </from>
                  <to>
                    <xdr:col>20</xdr:col>
                    <xdr:colOff>419100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17" name="Option Button 69">
              <controlPr defaultSize="0" autoFill="0" autoLine="0" autoPict="0">
                <anchor moveWithCells="1">
                  <from>
                    <xdr:col>1</xdr:col>
                    <xdr:colOff>180975</xdr:colOff>
                    <xdr:row>34</xdr:row>
                    <xdr:rowOff>171450</xdr:rowOff>
                  </from>
                  <to>
                    <xdr:col>20</xdr:col>
                    <xdr:colOff>419100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18" name="Option Button 70">
              <controlPr defaultSize="0" autoFill="0" autoLine="0" autoPict="0">
                <anchor moveWithCells="1">
                  <from>
                    <xdr:col>1</xdr:col>
                    <xdr:colOff>180975</xdr:colOff>
                    <xdr:row>36</xdr:row>
                    <xdr:rowOff>104775</xdr:rowOff>
                  </from>
                  <to>
                    <xdr:col>20</xdr:col>
                    <xdr:colOff>419100</xdr:colOff>
                    <xdr:row>37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19" name="Group Box 71">
              <controlPr defaultSize="0" autoFill="0" autoPict="0">
                <anchor moveWithCells="1">
                  <from>
                    <xdr:col>1</xdr:col>
                    <xdr:colOff>9525</xdr:colOff>
                    <xdr:row>42</xdr:row>
                    <xdr:rowOff>114300</xdr:rowOff>
                  </from>
                  <to>
                    <xdr:col>20</xdr:col>
                    <xdr:colOff>590550</xdr:colOff>
                    <xdr:row>50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20" name="Option Button 72">
              <controlPr defaultSize="0" autoFill="0" autoLine="0" autoPict="0">
                <anchor moveWithCells="1">
                  <from>
                    <xdr:col>1</xdr:col>
                    <xdr:colOff>180975</xdr:colOff>
                    <xdr:row>43</xdr:row>
                    <xdr:rowOff>123825</xdr:rowOff>
                  </from>
                  <to>
                    <xdr:col>20</xdr:col>
                    <xdr:colOff>419100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21" name="Option Button 73">
              <controlPr defaultSize="0" autoFill="0" autoLine="0" autoPict="0">
                <anchor moveWithCells="1">
                  <from>
                    <xdr:col>1</xdr:col>
                    <xdr:colOff>180975</xdr:colOff>
                    <xdr:row>45</xdr:row>
                    <xdr:rowOff>57150</xdr:rowOff>
                  </from>
                  <to>
                    <xdr:col>20</xdr:col>
                    <xdr:colOff>419100</xdr:colOff>
                    <xdr:row>46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22" name="Option Button 74">
              <controlPr defaultSize="0" autoFill="0" autoLine="0" autoPict="0">
                <anchor moveWithCells="1">
                  <from>
                    <xdr:col>1</xdr:col>
                    <xdr:colOff>180975</xdr:colOff>
                    <xdr:row>46</xdr:row>
                    <xdr:rowOff>180975</xdr:rowOff>
                  </from>
                  <to>
                    <xdr:col>20</xdr:col>
                    <xdr:colOff>419100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23" name="Option Button 75">
              <controlPr defaultSize="0" autoFill="0" autoLine="0" autoPict="0">
                <anchor moveWithCells="1">
                  <from>
                    <xdr:col>1</xdr:col>
                    <xdr:colOff>180975</xdr:colOff>
                    <xdr:row>48</xdr:row>
                    <xdr:rowOff>114300</xdr:rowOff>
                  </from>
                  <to>
                    <xdr:col>20</xdr:col>
                    <xdr:colOff>419100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24" name="Group Box 76">
              <controlPr defaultSize="0" autoFill="0" autoPict="0">
                <anchor moveWithCells="1">
                  <from>
                    <xdr:col>1</xdr:col>
                    <xdr:colOff>9525</xdr:colOff>
                    <xdr:row>54</xdr:row>
                    <xdr:rowOff>114300</xdr:rowOff>
                  </from>
                  <to>
                    <xdr:col>20</xdr:col>
                    <xdr:colOff>590550</xdr:colOff>
                    <xdr:row>62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25" name="Option Button 77">
              <controlPr defaultSize="0" autoFill="0" autoLine="0" autoPict="0">
                <anchor moveWithCells="1">
                  <from>
                    <xdr:col>1</xdr:col>
                    <xdr:colOff>180975</xdr:colOff>
                    <xdr:row>55</xdr:row>
                    <xdr:rowOff>123825</xdr:rowOff>
                  </from>
                  <to>
                    <xdr:col>20</xdr:col>
                    <xdr:colOff>419100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26" name="Option Button 78">
              <controlPr defaultSize="0" autoFill="0" autoLine="0" autoPict="0">
                <anchor moveWithCells="1">
                  <from>
                    <xdr:col>1</xdr:col>
                    <xdr:colOff>180975</xdr:colOff>
                    <xdr:row>57</xdr:row>
                    <xdr:rowOff>57150</xdr:rowOff>
                  </from>
                  <to>
                    <xdr:col>20</xdr:col>
                    <xdr:colOff>419100</xdr:colOff>
                    <xdr:row>58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27" name="Option Button 79">
              <controlPr defaultSize="0" autoFill="0" autoLine="0" autoPict="0">
                <anchor moveWithCells="1">
                  <from>
                    <xdr:col>1</xdr:col>
                    <xdr:colOff>180975</xdr:colOff>
                    <xdr:row>58</xdr:row>
                    <xdr:rowOff>180975</xdr:rowOff>
                  </from>
                  <to>
                    <xdr:col>20</xdr:col>
                    <xdr:colOff>419100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28" name="Option Button 80">
              <controlPr defaultSize="0" autoFill="0" autoLine="0" autoPict="0">
                <anchor moveWithCells="1">
                  <from>
                    <xdr:col>1</xdr:col>
                    <xdr:colOff>180975</xdr:colOff>
                    <xdr:row>60</xdr:row>
                    <xdr:rowOff>114300</xdr:rowOff>
                  </from>
                  <to>
                    <xdr:col>20</xdr:col>
                    <xdr:colOff>419100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29" name="Group Box 81">
              <controlPr defaultSize="0" autoFill="0" autoPict="0">
                <anchor moveWithCells="1">
                  <from>
                    <xdr:col>1</xdr:col>
                    <xdr:colOff>9525</xdr:colOff>
                    <xdr:row>66</xdr:row>
                    <xdr:rowOff>95250</xdr:rowOff>
                  </from>
                  <to>
                    <xdr:col>20</xdr:col>
                    <xdr:colOff>590550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30" name="Option Button 82">
              <controlPr defaultSize="0" autoFill="0" autoLine="0" autoPict="0">
                <anchor moveWithCells="1">
                  <from>
                    <xdr:col>1</xdr:col>
                    <xdr:colOff>180975</xdr:colOff>
                    <xdr:row>67</xdr:row>
                    <xdr:rowOff>104775</xdr:rowOff>
                  </from>
                  <to>
                    <xdr:col>20</xdr:col>
                    <xdr:colOff>419100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31" name="Option Button 83">
              <controlPr defaultSize="0" autoFill="0" autoLine="0" autoPict="0">
                <anchor moveWithCells="1">
                  <from>
                    <xdr:col>1</xdr:col>
                    <xdr:colOff>180975</xdr:colOff>
                    <xdr:row>69</xdr:row>
                    <xdr:rowOff>38100</xdr:rowOff>
                  </from>
                  <to>
                    <xdr:col>20</xdr:col>
                    <xdr:colOff>419100</xdr:colOff>
                    <xdr:row>70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32" name="Option Button 84">
              <controlPr defaultSize="0" autoFill="0" autoLine="0" autoPict="0">
                <anchor moveWithCells="1">
                  <from>
                    <xdr:col>1</xdr:col>
                    <xdr:colOff>180975</xdr:colOff>
                    <xdr:row>70</xdr:row>
                    <xdr:rowOff>161925</xdr:rowOff>
                  </from>
                  <to>
                    <xdr:col>20</xdr:col>
                    <xdr:colOff>419100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33" name="Option Button 85">
              <controlPr defaultSize="0" autoFill="0" autoLine="0" autoPict="0">
                <anchor moveWithCells="1">
                  <from>
                    <xdr:col>1</xdr:col>
                    <xdr:colOff>180975</xdr:colOff>
                    <xdr:row>72</xdr:row>
                    <xdr:rowOff>95250</xdr:rowOff>
                  </from>
                  <to>
                    <xdr:col>20</xdr:col>
                    <xdr:colOff>419100</xdr:colOff>
                    <xdr:row>73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34" name="Group Box 91">
              <controlPr defaultSize="0" autoFill="0" autoPict="0">
                <anchor moveWithCells="1">
                  <from>
                    <xdr:col>1</xdr:col>
                    <xdr:colOff>9525</xdr:colOff>
                    <xdr:row>78</xdr:row>
                    <xdr:rowOff>104775</xdr:rowOff>
                  </from>
                  <to>
                    <xdr:col>20</xdr:col>
                    <xdr:colOff>590550</xdr:colOff>
                    <xdr:row>86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35" name="Option Button 92">
              <controlPr defaultSize="0" autoFill="0" autoLine="0" autoPict="0">
                <anchor moveWithCells="1">
                  <from>
                    <xdr:col>1</xdr:col>
                    <xdr:colOff>180975</xdr:colOff>
                    <xdr:row>79</xdr:row>
                    <xdr:rowOff>114300</xdr:rowOff>
                  </from>
                  <to>
                    <xdr:col>20</xdr:col>
                    <xdr:colOff>419100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36" name="Option Button 93">
              <controlPr defaultSize="0" autoFill="0" autoLine="0" autoPict="0">
                <anchor moveWithCells="1">
                  <from>
                    <xdr:col>1</xdr:col>
                    <xdr:colOff>180975</xdr:colOff>
                    <xdr:row>81</xdr:row>
                    <xdr:rowOff>47625</xdr:rowOff>
                  </from>
                  <to>
                    <xdr:col>20</xdr:col>
                    <xdr:colOff>419100</xdr:colOff>
                    <xdr:row>82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37" name="Option Button 94">
              <controlPr defaultSize="0" autoFill="0" autoLine="0" autoPict="0">
                <anchor moveWithCells="1">
                  <from>
                    <xdr:col>1</xdr:col>
                    <xdr:colOff>180975</xdr:colOff>
                    <xdr:row>82</xdr:row>
                    <xdr:rowOff>171450</xdr:rowOff>
                  </from>
                  <to>
                    <xdr:col>20</xdr:col>
                    <xdr:colOff>419100</xdr:colOff>
                    <xdr:row>84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38" name="Option Button 95">
              <controlPr defaultSize="0" autoFill="0" autoLine="0" autoPict="0">
                <anchor moveWithCells="1">
                  <from>
                    <xdr:col>1</xdr:col>
                    <xdr:colOff>180975</xdr:colOff>
                    <xdr:row>84</xdr:row>
                    <xdr:rowOff>104775</xdr:rowOff>
                  </from>
                  <to>
                    <xdr:col>20</xdr:col>
                    <xdr:colOff>419100</xdr:colOff>
                    <xdr:row>85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>
    <tabColor theme="8" tint="0.79998168889431442"/>
  </sheetPr>
  <dimension ref="B1:U66"/>
  <sheetViews>
    <sheetView topLeftCell="F53" zoomScale="130" zoomScaleNormal="130" workbookViewId="0">
      <selection activeCell="U68" sqref="U68"/>
    </sheetView>
  </sheetViews>
  <sheetFormatPr defaultRowHeight="15" customHeight="1" x14ac:dyDescent="0.25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 x14ac:dyDescent="0.25"/>
    <row r="2" spans="2:21" ht="22.5" customHeight="1" x14ac:dyDescent="0.25"/>
    <row r="3" spans="2:21" ht="61.5" customHeight="1" x14ac:dyDescent="0.25">
      <c r="B3" s="106" t="s">
        <v>254</v>
      </c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</row>
    <row r="5" spans="2:21" ht="30" customHeight="1" x14ac:dyDescent="0.25">
      <c r="B5" s="105" t="s">
        <v>50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</row>
    <row r="6" spans="2:21" ht="30" customHeight="1" x14ac:dyDescent="0.25"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</row>
    <row r="16" spans="2:21" ht="15" customHeight="1" x14ac:dyDescent="0.25">
      <c r="B16" s="119" t="s">
        <v>320</v>
      </c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1"/>
    </row>
    <row r="17" spans="2:21" ht="15" customHeight="1" x14ac:dyDescent="0.25">
      <c r="B17" s="122"/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4"/>
    </row>
    <row r="18" spans="2:21" ht="15" customHeight="1" x14ac:dyDescent="0.25">
      <c r="B18" s="125"/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7"/>
    </row>
    <row r="28" spans="2:21" ht="15" customHeight="1" x14ac:dyDescent="0.25">
      <c r="B28" s="110" t="s">
        <v>291</v>
      </c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2"/>
    </row>
    <row r="29" spans="2:21" ht="15" customHeight="1" x14ac:dyDescent="0.25"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5"/>
    </row>
    <row r="30" spans="2:21" ht="15" customHeight="1" x14ac:dyDescent="0.25">
      <c r="B30" s="116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8"/>
    </row>
    <row r="40" spans="2:21" ht="15" customHeight="1" x14ac:dyDescent="0.25">
      <c r="B40" s="110" t="s">
        <v>276</v>
      </c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2"/>
    </row>
    <row r="41" spans="2:21" ht="15" customHeight="1" x14ac:dyDescent="0.25"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5"/>
    </row>
    <row r="42" spans="2:21" ht="15" customHeight="1" x14ac:dyDescent="0.25">
      <c r="B42" s="116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8"/>
    </row>
    <row r="52" spans="2:21" ht="15" customHeight="1" x14ac:dyDescent="0.25">
      <c r="B52" s="110" t="s">
        <v>291</v>
      </c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2"/>
    </row>
    <row r="53" spans="2:21" ht="15" customHeight="1" x14ac:dyDescent="0.25">
      <c r="B53" s="113"/>
      <c r="C53" s="114"/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5"/>
    </row>
    <row r="54" spans="2:21" ht="15" customHeight="1" x14ac:dyDescent="0.25">
      <c r="B54" s="116"/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8"/>
    </row>
    <row r="64" spans="2:21" ht="15" customHeight="1" x14ac:dyDescent="0.25">
      <c r="B64" s="110" t="s">
        <v>276</v>
      </c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2"/>
    </row>
    <row r="65" spans="2:21" ht="15" customHeight="1" x14ac:dyDescent="0.25">
      <c r="B65" s="113"/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5"/>
    </row>
    <row r="66" spans="2:21" ht="15" customHeight="1" x14ac:dyDescent="0.25">
      <c r="B66" s="116"/>
      <c r="C66" s="117"/>
      <c r="D66" s="117"/>
      <c r="E66" s="117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117"/>
      <c r="Q66" s="117"/>
      <c r="R66" s="117"/>
      <c r="S66" s="117"/>
      <c r="T66" s="117"/>
      <c r="U66" s="118"/>
    </row>
  </sheetData>
  <mergeCells count="7">
    <mergeCell ref="B52:U54"/>
    <mergeCell ref="B64:U66"/>
    <mergeCell ref="B3:U3"/>
    <mergeCell ref="B5:U6"/>
    <mergeCell ref="B16:U18"/>
    <mergeCell ref="B28:U30"/>
    <mergeCell ref="B40:U42"/>
  </mergeCells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Group Box 1">
              <controlPr defaultSize="0" autoFill="0" autoPict="0">
                <anchor moveWithCells="1">
                  <from>
                    <xdr:col>1</xdr:col>
                    <xdr:colOff>9525</xdr:colOff>
                    <xdr:row>6</xdr:row>
                    <xdr:rowOff>180975</xdr:rowOff>
                  </from>
                  <to>
                    <xdr:col>20</xdr:col>
                    <xdr:colOff>590550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Option Button 2">
              <controlPr defaultSize="0" autoFill="0" autoLine="0" autoPict="0">
                <anchor moveWithCells="1">
                  <from>
                    <xdr:col>1</xdr:col>
                    <xdr:colOff>180975</xdr:colOff>
                    <xdr:row>8</xdr:row>
                    <xdr:rowOff>0</xdr:rowOff>
                  </from>
                  <to>
                    <xdr:col>20</xdr:col>
                    <xdr:colOff>419100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Option Button 3">
              <controlPr defaultSize="0" autoFill="0" autoLine="0" autoPict="0">
                <anchor moveWithCells="1">
                  <from>
                    <xdr:col>1</xdr:col>
                    <xdr:colOff>180975</xdr:colOff>
                    <xdr:row>9</xdr:row>
                    <xdr:rowOff>123825</xdr:rowOff>
                  </from>
                  <to>
                    <xdr:col>20</xdr:col>
                    <xdr:colOff>419100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Option Button 4">
              <controlPr defaultSize="0" autoFill="0" autoLine="0" autoPict="0">
                <anchor moveWithCells="1">
                  <from>
                    <xdr:col>1</xdr:col>
                    <xdr:colOff>180975</xdr:colOff>
                    <xdr:row>11</xdr:row>
                    <xdr:rowOff>57150</xdr:rowOff>
                  </from>
                  <to>
                    <xdr:col>20</xdr:col>
                    <xdr:colOff>419100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Option Button 5">
              <controlPr defaultSize="0" autoFill="0" autoLine="0" autoPict="0">
                <anchor moveWithCells="1">
                  <from>
                    <xdr:col>1</xdr:col>
                    <xdr:colOff>180975</xdr:colOff>
                    <xdr:row>12</xdr:row>
                    <xdr:rowOff>180975</xdr:rowOff>
                  </from>
                  <to>
                    <xdr:col>20</xdr:col>
                    <xdr:colOff>419100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9" name="Group Box 46">
              <controlPr defaultSize="0" autoFill="0" autoPict="0">
                <anchor moveWithCells="1">
                  <from>
                    <xdr:col>1</xdr:col>
                    <xdr:colOff>9525</xdr:colOff>
                    <xdr:row>19</xdr:row>
                    <xdr:rowOff>38100</xdr:rowOff>
                  </from>
                  <to>
                    <xdr:col>20</xdr:col>
                    <xdr:colOff>590550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10" name="Option Button 47">
              <controlPr defaultSize="0" autoFill="0" autoLine="0" autoPict="0">
                <anchor moveWithCells="1">
                  <from>
                    <xdr:col>1</xdr:col>
                    <xdr:colOff>180975</xdr:colOff>
                    <xdr:row>19</xdr:row>
                    <xdr:rowOff>123825</xdr:rowOff>
                  </from>
                  <to>
                    <xdr:col>20</xdr:col>
                    <xdr:colOff>419100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11" name="Option Button 48">
              <controlPr defaultSize="0" autoFill="0" autoLine="0" autoPict="0">
                <anchor moveWithCells="1">
                  <from>
                    <xdr:col>1</xdr:col>
                    <xdr:colOff>180975</xdr:colOff>
                    <xdr:row>21</xdr:row>
                    <xdr:rowOff>57150</xdr:rowOff>
                  </from>
                  <to>
                    <xdr:col>20</xdr:col>
                    <xdr:colOff>419100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12" name="Option Button 49">
              <controlPr defaultSize="0" autoFill="0" autoLine="0" autoPict="0">
                <anchor moveWithCells="1">
                  <from>
                    <xdr:col>1</xdr:col>
                    <xdr:colOff>180975</xdr:colOff>
                    <xdr:row>22</xdr:row>
                    <xdr:rowOff>180975</xdr:rowOff>
                  </from>
                  <to>
                    <xdr:col>20</xdr:col>
                    <xdr:colOff>419100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13" name="Option Button 50">
              <controlPr defaultSize="0" autoFill="0" autoLine="0" autoPict="0">
                <anchor moveWithCells="1">
                  <from>
                    <xdr:col>1</xdr:col>
                    <xdr:colOff>180975</xdr:colOff>
                    <xdr:row>24</xdr:row>
                    <xdr:rowOff>114300</xdr:rowOff>
                  </from>
                  <to>
                    <xdr:col>20</xdr:col>
                    <xdr:colOff>419100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14" name="Group Box 51">
              <controlPr defaultSize="0" autoFill="0" autoPict="0">
                <anchor moveWithCells="1">
                  <from>
                    <xdr:col>1</xdr:col>
                    <xdr:colOff>9525</xdr:colOff>
                    <xdr:row>30</xdr:row>
                    <xdr:rowOff>104775</xdr:rowOff>
                  </from>
                  <to>
                    <xdr:col>20</xdr:col>
                    <xdr:colOff>590550</xdr:colOff>
                    <xdr:row>38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15" name="Option Button 52">
              <controlPr defaultSize="0" autoFill="0" autoLine="0" autoPict="0">
                <anchor moveWithCells="1">
                  <from>
                    <xdr:col>1</xdr:col>
                    <xdr:colOff>180975</xdr:colOff>
                    <xdr:row>31</xdr:row>
                    <xdr:rowOff>114300</xdr:rowOff>
                  </from>
                  <to>
                    <xdr:col>20</xdr:col>
                    <xdr:colOff>419100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16" name="Option Button 53">
              <controlPr defaultSize="0" autoFill="0" autoLine="0" autoPict="0">
                <anchor moveWithCells="1">
                  <from>
                    <xdr:col>1</xdr:col>
                    <xdr:colOff>180975</xdr:colOff>
                    <xdr:row>33</xdr:row>
                    <xdr:rowOff>47625</xdr:rowOff>
                  </from>
                  <to>
                    <xdr:col>20</xdr:col>
                    <xdr:colOff>419100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17" name="Option Button 54">
              <controlPr defaultSize="0" autoFill="0" autoLine="0" autoPict="0">
                <anchor moveWithCells="1">
                  <from>
                    <xdr:col>1</xdr:col>
                    <xdr:colOff>180975</xdr:colOff>
                    <xdr:row>34</xdr:row>
                    <xdr:rowOff>171450</xdr:rowOff>
                  </from>
                  <to>
                    <xdr:col>20</xdr:col>
                    <xdr:colOff>419100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18" name="Option Button 55">
              <controlPr defaultSize="0" autoFill="0" autoLine="0" autoPict="0">
                <anchor moveWithCells="1">
                  <from>
                    <xdr:col>1</xdr:col>
                    <xdr:colOff>180975</xdr:colOff>
                    <xdr:row>36</xdr:row>
                    <xdr:rowOff>104775</xdr:rowOff>
                  </from>
                  <to>
                    <xdr:col>20</xdr:col>
                    <xdr:colOff>419100</xdr:colOff>
                    <xdr:row>37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19" name="Group Box 56">
              <controlPr defaultSize="0" autoFill="0" autoPict="0">
                <anchor moveWithCells="1">
                  <from>
                    <xdr:col>1</xdr:col>
                    <xdr:colOff>9525</xdr:colOff>
                    <xdr:row>42</xdr:row>
                    <xdr:rowOff>104775</xdr:rowOff>
                  </from>
                  <to>
                    <xdr:col>20</xdr:col>
                    <xdr:colOff>590550</xdr:colOff>
                    <xdr:row>50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20" name="Option Button 57">
              <controlPr defaultSize="0" autoFill="0" autoLine="0" autoPict="0">
                <anchor moveWithCells="1">
                  <from>
                    <xdr:col>1</xdr:col>
                    <xdr:colOff>180975</xdr:colOff>
                    <xdr:row>43</xdr:row>
                    <xdr:rowOff>114300</xdr:rowOff>
                  </from>
                  <to>
                    <xdr:col>20</xdr:col>
                    <xdr:colOff>419100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21" name="Option Button 58">
              <controlPr defaultSize="0" autoFill="0" autoLine="0" autoPict="0">
                <anchor moveWithCells="1">
                  <from>
                    <xdr:col>1</xdr:col>
                    <xdr:colOff>180975</xdr:colOff>
                    <xdr:row>45</xdr:row>
                    <xdr:rowOff>47625</xdr:rowOff>
                  </from>
                  <to>
                    <xdr:col>20</xdr:col>
                    <xdr:colOff>419100</xdr:colOff>
                    <xdr:row>46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22" name="Option Button 59">
              <controlPr defaultSize="0" autoFill="0" autoLine="0" autoPict="0">
                <anchor moveWithCells="1">
                  <from>
                    <xdr:col>1</xdr:col>
                    <xdr:colOff>180975</xdr:colOff>
                    <xdr:row>46</xdr:row>
                    <xdr:rowOff>171450</xdr:rowOff>
                  </from>
                  <to>
                    <xdr:col>20</xdr:col>
                    <xdr:colOff>419100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23" name="Option Button 60">
              <controlPr defaultSize="0" autoFill="0" autoLine="0" autoPict="0">
                <anchor moveWithCells="1">
                  <from>
                    <xdr:col>1</xdr:col>
                    <xdr:colOff>180975</xdr:colOff>
                    <xdr:row>48</xdr:row>
                    <xdr:rowOff>104775</xdr:rowOff>
                  </from>
                  <to>
                    <xdr:col>20</xdr:col>
                    <xdr:colOff>419100</xdr:colOff>
                    <xdr:row>49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24" name="Group Box 61">
              <controlPr defaultSize="0" autoFill="0" autoPict="0">
                <anchor moveWithCells="1">
                  <from>
                    <xdr:col>1</xdr:col>
                    <xdr:colOff>9525</xdr:colOff>
                    <xdr:row>54</xdr:row>
                    <xdr:rowOff>104775</xdr:rowOff>
                  </from>
                  <to>
                    <xdr:col>20</xdr:col>
                    <xdr:colOff>590550</xdr:colOff>
                    <xdr:row>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25" name="Option Button 62">
              <controlPr defaultSize="0" autoFill="0" autoLine="0" autoPict="0">
                <anchor moveWithCells="1">
                  <from>
                    <xdr:col>1</xdr:col>
                    <xdr:colOff>180975</xdr:colOff>
                    <xdr:row>55</xdr:row>
                    <xdr:rowOff>114300</xdr:rowOff>
                  </from>
                  <to>
                    <xdr:col>20</xdr:col>
                    <xdr:colOff>419100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26" name="Option Button 63">
              <controlPr defaultSize="0" autoFill="0" autoLine="0" autoPict="0">
                <anchor moveWithCells="1">
                  <from>
                    <xdr:col>1</xdr:col>
                    <xdr:colOff>180975</xdr:colOff>
                    <xdr:row>57</xdr:row>
                    <xdr:rowOff>47625</xdr:rowOff>
                  </from>
                  <to>
                    <xdr:col>20</xdr:col>
                    <xdr:colOff>419100</xdr:colOff>
                    <xdr:row>58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27" name="Option Button 64">
              <controlPr defaultSize="0" autoFill="0" autoLine="0" autoPict="0">
                <anchor moveWithCells="1">
                  <from>
                    <xdr:col>1</xdr:col>
                    <xdr:colOff>180975</xdr:colOff>
                    <xdr:row>58</xdr:row>
                    <xdr:rowOff>171450</xdr:rowOff>
                  </from>
                  <to>
                    <xdr:col>20</xdr:col>
                    <xdr:colOff>419100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28" name="Option Button 65">
              <controlPr defaultSize="0" autoFill="0" autoLine="0" autoPict="0">
                <anchor moveWithCells="1">
                  <from>
                    <xdr:col>1</xdr:col>
                    <xdr:colOff>180975</xdr:colOff>
                    <xdr:row>60</xdr:row>
                    <xdr:rowOff>104775</xdr:rowOff>
                  </from>
                  <to>
                    <xdr:col>20</xdr:col>
                    <xdr:colOff>419100</xdr:colOff>
                    <xdr:row>61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9">
    <tabColor theme="8" tint="0.79998168889431442"/>
  </sheetPr>
  <dimension ref="B1:U150"/>
  <sheetViews>
    <sheetView topLeftCell="E137" zoomScale="130" zoomScaleNormal="130" workbookViewId="0">
      <selection activeCell="T154" sqref="T154"/>
    </sheetView>
  </sheetViews>
  <sheetFormatPr defaultRowHeight="15" customHeight="1" x14ac:dyDescent="0.25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 x14ac:dyDescent="0.25"/>
    <row r="2" spans="2:21" ht="22.5" customHeight="1" x14ac:dyDescent="0.25"/>
    <row r="3" spans="2:21" ht="61.5" customHeight="1" x14ac:dyDescent="0.25">
      <c r="B3" s="106" t="s">
        <v>255</v>
      </c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</row>
    <row r="5" spans="2:21" ht="30" customHeight="1" x14ac:dyDescent="0.25">
      <c r="B5" s="105" t="s">
        <v>45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</row>
    <row r="6" spans="2:21" ht="30" customHeight="1" x14ac:dyDescent="0.25"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</row>
    <row r="16" spans="2:21" ht="15" customHeight="1" x14ac:dyDescent="0.25">
      <c r="B16" s="110" t="s">
        <v>276</v>
      </c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2"/>
    </row>
    <row r="17" spans="2:21" ht="15" customHeight="1" x14ac:dyDescent="0.25"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5"/>
    </row>
    <row r="18" spans="2:21" ht="15" customHeight="1" x14ac:dyDescent="0.25">
      <c r="B18" s="116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8"/>
    </row>
    <row r="28" spans="2:21" ht="15" customHeight="1" x14ac:dyDescent="0.25">
      <c r="B28" s="110" t="s">
        <v>276</v>
      </c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2"/>
    </row>
    <row r="29" spans="2:21" ht="15" customHeight="1" x14ac:dyDescent="0.25"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5"/>
    </row>
    <row r="30" spans="2:21" ht="15" customHeight="1" x14ac:dyDescent="0.25">
      <c r="B30" s="116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8"/>
    </row>
    <row r="40" spans="2:21" ht="15" customHeight="1" x14ac:dyDescent="0.25">
      <c r="B40" s="110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2"/>
    </row>
    <row r="41" spans="2:21" ht="15" customHeight="1" x14ac:dyDescent="0.25"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5"/>
    </row>
    <row r="42" spans="2:21" ht="15" customHeight="1" x14ac:dyDescent="0.25">
      <c r="B42" s="116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8"/>
    </row>
    <row r="52" spans="2:21" ht="15" customHeight="1" x14ac:dyDescent="0.25">
      <c r="B52" s="110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2"/>
    </row>
    <row r="53" spans="2:21" ht="15" customHeight="1" x14ac:dyDescent="0.25">
      <c r="B53" s="113"/>
      <c r="C53" s="114"/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5"/>
    </row>
    <row r="54" spans="2:21" ht="15" customHeight="1" x14ac:dyDescent="0.25">
      <c r="B54" s="116"/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8"/>
    </row>
    <row r="64" spans="2:21" ht="15" customHeight="1" x14ac:dyDescent="0.25">
      <c r="B64" s="110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2"/>
    </row>
    <row r="65" spans="2:21" ht="15" customHeight="1" x14ac:dyDescent="0.25">
      <c r="B65" s="113"/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5"/>
    </row>
    <row r="66" spans="2:21" ht="15" customHeight="1" x14ac:dyDescent="0.25">
      <c r="B66" s="116"/>
      <c r="C66" s="117"/>
      <c r="D66" s="117"/>
      <c r="E66" s="117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117"/>
      <c r="Q66" s="117"/>
      <c r="R66" s="117"/>
      <c r="S66" s="117"/>
      <c r="T66" s="117"/>
      <c r="U66" s="118"/>
    </row>
    <row r="76" spans="2:21" ht="15" customHeight="1" x14ac:dyDescent="0.25">
      <c r="B76" s="110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2"/>
    </row>
    <row r="77" spans="2:21" ht="15" customHeight="1" x14ac:dyDescent="0.25">
      <c r="B77" s="113"/>
      <c r="C77" s="114"/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5"/>
    </row>
    <row r="78" spans="2:21" ht="15" customHeight="1" x14ac:dyDescent="0.25">
      <c r="B78" s="116"/>
      <c r="C78" s="117"/>
      <c r="D78" s="117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8"/>
    </row>
    <row r="88" spans="2:21" ht="15" customHeight="1" x14ac:dyDescent="0.25">
      <c r="B88" s="110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2"/>
    </row>
    <row r="89" spans="2:21" ht="15" customHeight="1" x14ac:dyDescent="0.25">
      <c r="B89" s="113"/>
      <c r="C89" s="114"/>
      <c r="D89" s="114"/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5"/>
    </row>
    <row r="90" spans="2:21" ht="15" customHeight="1" x14ac:dyDescent="0.25">
      <c r="B90" s="116"/>
      <c r="C90" s="117"/>
      <c r="D90" s="117"/>
      <c r="E90" s="117"/>
      <c r="F90" s="117"/>
      <c r="G90" s="117"/>
      <c r="H90" s="117"/>
      <c r="I90" s="117"/>
      <c r="J90" s="117"/>
      <c r="K90" s="117"/>
      <c r="L90" s="117"/>
      <c r="M90" s="117"/>
      <c r="N90" s="117"/>
      <c r="O90" s="117"/>
      <c r="P90" s="117"/>
      <c r="Q90" s="117"/>
      <c r="R90" s="117"/>
      <c r="S90" s="117"/>
      <c r="T90" s="117"/>
      <c r="U90" s="118"/>
    </row>
    <row r="100" spans="2:21" ht="15" customHeight="1" x14ac:dyDescent="0.25">
      <c r="B100" s="110" t="s">
        <v>276</v>
      </c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2"/>
    </row>
    <row r="101" spans="2:21" ht="15" customHeight="1" x14ac:dyDescent="0.25">
      <c r="B101" s="113"/>
      <c r="C101" s="114"/>
      <c r="D101" s="114"/>
      <c r="E101" s="114"/>
      <c r="F101" s="114"/>
      <c r="G101" s="114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5"/>
    </row>
    <row r="102" spans="2:21" ht="15" customHeight="1" x14ac:dyDescent="0.25">
      <c r="B102" s="116"/>
      <c r="C102" s="117"/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8"/>
    </row>
    <row r="112" spans="2:21" ht="15" customHeight="1" x14ac:dyDescent="0.25">
      <c r="B112" s="110" t="s">
        <v>321</v>
      </c>
      <c r="C112" s="111"/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2"/>
    </row>
    <row r="113" spans="2:21" ht="15" customHeight="1" x14ac:dyDescent="0.25">
      <c r="B113" s="113"/>
      <c r="C113" s="114"/>
      <c r="D113" s="114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5"/>
    </row>
    <row r="114" spans="2:21" ht="15" customHeight="1" x14ac:dyDescent="0.25">
      <c r="B114" s="116"/>
      <c r="C114" s="117"/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8"/>
    </row>
    <row r="124" spans="2:21" ht="15" customHeight="1" x14ac:dyDescent="0.25">
      <c r="B124" s="110" t="s">
        <v>315</v>
      </c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2"/>
    </row>
    <row r="125" spans="2:21" ht="15" customHeight="1" x14ac:dyDescent="0.25">
      <c r="B125" s="113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  <c r="Q125" s="114"/>
      <c r="R125" s="114"/>
      <c r="S125" s="114"/>
      <c r="T125" s="114"/>
      <c r="U125" s="115"/>
    </row>
    <row r="126" spans="2:21" ht="15" customHeight="1" x14ac:dyDescent="0.25">
      <c r="B126" s="116"/>
      <c r="C126" s="117"/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8"/>
    </row>
    <row r="136" spans="2:21" ht="15" customHeight="1" x14ac:dyDescent="0.25">
      <c r="B136" s="110" t="s">
        <v>316</v>
      </c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  <c r="P136" s="111"/>
      <c r="Q136" s="111"/>
      <c r="R136" s="111"/>
      <c r="S136" s="111"/>
      <c r="T136" s="111"/>
      <c r="U136" s="112"/>
    </row>
    <row r="137" spans="2:21" ht="15" customHeight="1" x14ac:dyDescent="0.25">
      <c r="B137" s="113"/>
      <c r="C137" s="114"/>
      <c r="D137" s="114"/>
      <c r="E137" s="114"/>
      <c r="F137" s="114"/>
      <c r="G137" s="114"/>
      <c r="H137" s="114"/>
      <c r="I137" s="114"/>
      <c r="J137" s="114"/>
      <c r="K137" s="114"/>
      <c r="L137" s="114"/>
      <c r="M137" s="114"/>
      <c r="N137" s="114"/>
      <c r="O137" s="114"/>
      <c r="P137" s="114"/>
      <c r="Q137" s="114"/>
      <c r="R137" s="114"/>
      <c r="S137" s="114"/>
      <c r="T137" s="114"/>
      <c r="U137" s="115"/>
    </row>
    <row r="138" spans="2:21" ht="15" customHeight="1" x14ac:dyDescent="0.25">
      <c r="B138" s="116"/>
      <c r="C138" s="117"/>
      <c r="D138" s="117"/>
      <c r="E138" s="117"/>
      <c r="F138" s="117"/>
      <c r="G138" s="117"/>
      <c r="H138" s="117"/>
      <c r="I138" s="117"/>
      <c r="J138" s="117"/>
      <c r="K138" s="117"/>
      <c r="L138" s="117"/>
      <c r="M138" s="117"/>
      <c r="N138" s="117"/>
      <c r="O138" s="117"/>
      <c r="P138" s="117"/>
      <c r="Q138" s="117"/>
      <c r="R138" s="117"/>
      <c r="S138" s="117"/>
      <c r="T138" s="117"/>
      <c r="U138" s="118"/>
    </row>
    <row r="148" spans="2:21" ht="15" customHeight="1" x14ac:dyDescent="0.25">
      <c r="B148" s="110" t="s">
        <v>291</v>
      </c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  <c r="P148" s="111"/>
      <c r="Q148" s="111"/>
      <c r="R148" s="111"/>
      <c r="S148" s="111"/>
      <c r="T148" s="111"/>
      <c r="U148" s="112"/>
    </row>
    <row r="149" spans="2:21" ht="15" customHeight="1" x14ac:dyDescent="0.25">
      <c r="B149" s="113"/>
      <c r="C149" s="114"/>
      <c r="D149" s="114"/>
      <c r="E149" s="114"/>
      <c r="F149" s="114"/>
      <c r="G149" s="114"/>
      <c r="H149" s="114"/>
      <c r="I149" s="114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5"/>
    </row>
    <row r="150" spans="2:21" ht="15" customHeight="1" x14ac:dyDescent="0.25">
      <c r="B150" s="116"/>
      <c r="C150" s="117"/>
      <c r="D150" s="117"/>
      <c r="E150" s="117"/>
      <c r="F150" s="117"/>
      <c r="G150" s="117"/>
      <c r="H150" s="117"/>
      <c r="I150" s="117"/>
      <c r="J150" s="117"/>
      <c r="K150" s="117"/>
      <c r="L150" s="117"/>
      <c r="M150" s="117"/>
      <c r="N150" s="117"/>
      <c r="O150" s="117"/>
      <c r="P150" s="117"/>
      <c r="Q150" s="117"/>
      <c r="R150" s="117"/>
      <c r="S150" s="117"/>
      <c r="T150" s="117"/>
      <c r="U150" s="118"/>
    </row>
  </sheetData>
  <mergeCells count="14">
    <mergeCell ref="B112:U114"/>
    <mergeCell ref="B124:U126"/>
    <mergeCell ref="B136:U138"/>
    <mergeCell ref="B148:U150"/>
    <mergeCell ref="B52:U54"/>
    <mergeCell ref="B64:U66"/>
    <mergeCell ref="B76:U78"/>
    <mergeCell ref="B88:U90"/>
    <mergeCell ref="B100:U102"/>
    <mergeCell ref="B3:U3"/>
    <mergeCell ref="B5:U6"/>
    <mergeCell ref="B16:U18"/>
    <mergeCell ref="B28:U30"/>
    <mergeCell ref="B40:U42"/>
  </mergeCells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Group Box 1">
              <controlPr defaultSize="0" autoFill="0" autoPict="0">
                <anchor moveWithCells="1">
                  <from>
                    <xdr:col>1</xdr:col>
                    <xdr:colOff>9525</xdr:colOff>
                    <xdr:row>6</xdr:row>
                    <xdr:rowOff>180975</xdr:rowOff>
                  </from>
                  <to>
                    <xdr:col>20</xdr:col>
                    <xdr:colOff>590550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Option Button 2">
              <controlPr defaultSize="0" autoFill="0" autoLine="0" autoPict="0">
                <anchor moveWithCells="1">
                  <from>
                    <xdr:col>1</xdr:col>
                    <xdr:colOff>180975</xdr:colOff>
                    <xdr:row>8</xdr:row>
                    <xdr:rowOff>0</xdr:rowOff>
                  </from>
                  <to>
                    <xdr:col>20</xdr:col>
                    <xdr:colOff>419100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Option Button 3">
              <controlPr defaultSize="0" autoFill="0" autoLine="0" autoPict="0">
                <anchor moveWithCells="1">
                  <from>
                    <xdr:col>1</xdr:col>
                    <xdr:colOff>180975</xdr:colOff>
                    <xdr:row>9</xdr:row>
                    <xdr:rowOff>123825</xdr:rowOff>
                  </from>
                  <to>
                    <xdr:col>20</xdr:col>
                    <xdr:colOff>419100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Option Button 4">
              <controlPr defaultSize="0" autoFill="0" autoLine="0" autoPict="0">
                <anchor moveWithCells="1">
                  <from>
                    <xdr:col>1</xdr:col>
                    <xdr:colOff>180975</xdr:colOff>
                    <xdr:row>11</xdr:row>
                    <xdr:rowOff>57150</xdr:rowOff>
                  </from>
                  <to>
                    <xdr:col>20</xdr:col>
                    <xdr:colOff>419100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Option Button 5">
              <controlPr defaultSize="0" autoFill="0" autoLine="0" autoPict="0">
                <anchor moveWithCells="1">
                  <from>
                    <xdr:col>1</xdr:col>
                    <xdr:colOff>180975</xdr:colOff>
                    <xdr:row>12</xdr:row>
                    <xdr:rowOff>180975</xdr:rowOff>
                  </from>
                  <to>
                    <xdr:col>20</xdr:col>
                    <xdr:colOff>419100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9" name="Group Box 46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114300</xdr:rowOff>
                  </from>
                  <to>
                    <xdr:col>20</xdr:col>
                    <xdr:colOff>581025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10" name="Option Button 47">
              <controlPr defaultSize="0" autoFill="0" autoLine="0" autoPict="0">
                <anchor moveWithCells="1">
                  <from>
                    <xdr:col>1</xdr:col>
                    <xdr:colOff>171450</xdr:colOff>
                    <xdr:row>19</xdr:row>
                    <xdr:rowOff>123825</xdr:rowOff>
                  </from>
                  <to>
                    <xdr:col>20</xdr:col>
                    <xdr:colOff>409575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11" name="Option Button 48">
              <controlPr defaultSize="0" autoFill="0" autoLine="0" autoPict="0">
                <anchor moveWithCells="1">
                  <from>
                    <xdr:col>1</xdr:col>
                    <xdr:colOff>171450</xdr:colOff>
                    <xdr:row>21</xdr:row>
                    <xdr:rowOff>57150</xdr:rowOff>
                  </from>
                  <to>
                    <xdr:col>20</xdr:col>
                    <xdr:colOff>409575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12" name="Option Button 49">
              <controlPr defaultSize="0" autoFill="0" autoLine="0" autoPict="0">
                <anchor moveWithCells="1">
                  <from>
                    <xdr:col>1</xdr:col>
                    <xdr:colOff>171450</xdr:colOff>
                    <xdr:row>22</xdr:row>
                    <xdr:rowOff>180975</xdr:rowOff>
                  </from>
                  <to>
                    <xdr:col>20</xdr:col>
                    <xdr:colOff>409575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13" name="Option Button 50">
              <controlPr defaultSize="0" autoFill="0" autoLine="0" autoPict="0">
                <anchor moveWithCells="1">
                  <from>
                    <xdr:col>1</xdr:col>
                    <xdr:colOff>171450</xdr:colOff>
                    <xdr:row>24</xdr:row>
                    <xdr:rowOff>114300</xdr:rowOff>
                  </from>
                  <to>
                    <xdr:col>20</xdr:col>
                    <xdr:colOff>409575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14" name="Group Box 51">
              <controlPr defaultSize="0" autoFill="0" autoPict="0">
                <anchor moveWithCells="1">
                  <from>
                    <xdr:col>1</xdr:col>
                    <xdr:colOff>0</xdr:colOff>
                    <xdr:row>30</xdr:row>
                    <xdr:rowOff>95250</xdr:rowOff>
                  </from>
                  <to>
                    <xdr:col>20</xdr:col>
                    <xdr:colOff>581025</xdr:colOff>
                    <xdr:row>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15" name="Option Button 52">
              <controlPr defaultSize="0" autoFill="0" autoLine="0" autoPict="0">
                <anchor moveWithCells="1">
                  <from>
                    <xdr:col>1</xdr:col>
                    <xdr:colOff>171450</xdr:colOff>
                    <xdr:row>31</xdr:row>
                    <xdr:rowOff>104775</xdr:rowOff>
                  </from>
                  <to>
                    <xdr:col>20</xdr:col>
                    <xdr:colOff>409575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16" name="Option Button 53">
              <controlPr defaultSize="0" autoFill="0" autoLine="0" autoPict="0">
                <anchor moveWithCells="1">
                  <from>
                    <xdr:col>1</xdr:col>
                    <xdr:colOff>171450</xdr:colOff>
                    <xdr:row>33</xdr:row>
                    <xdr:rowOff>38100</xdr:rowOff>
                  </from>
                  <to>
                    <xdr:col>20</xdr:col>
                    <xdr:colOff>409575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17" name="Option Button 54">
              <controlPr defaultSize="0" autoFill="0" autoLine="0" autoPict="0">
                <anchor moveWithCells="1">
                  <from>
                    <xdr:col>1</xdr:col>
                    <xdr:colOff>171450</xdr:colOff>
                    <xdr:row>34</xdr:row>
                    <xdr:rowOff>161925</xdr:rowOff>
                  </from>
                  <to>
                    <xdr:col>20</xdr:col>
                    <xdr:colOff>409575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18" name="Option Button 55">
              <controlPr defaultSize="0" autoFill="0" autoLine="0" autoPict="0">
                <anchor moveWithCells="1">
                  <from>
                    <xdr:col>1</xdr:col>
                    <xdr:colOff>171450</xdr:colOff>
                    <xdr:row>36</xdr:row>
                    <xdr:rowOff>95250</xdr:rowOff>
                  </from>
                  <to>
                    <xdr:col>20</xdr:col>
                    <xdr:colOff>409575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19" name="Group Box 56">
              <controlPr defaultSize="0" autoFill="0" autoPict="0">
                <anchor moveWithCells="1">
                  <from>
                    <xdr:col>1</xdr:col>
                    <xdr:colOff>0</xdr:colOff>
                    <xdr:row>42</xdr:row>
                    <xdr:rowOff>95250</xdr:rowOff>
                  </from>
                  <to>
                    <xdr:col>20</xdr:col>
                    <xdr:colOff>581025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20" name="Option Button 57">
              <controlPr defaultSize="0" autoFill="0" autoLine="0" autoPict="0">
                <anchor moveWithCells="1">
                  <from>
                    <xdr:col>1</xdr:col>
                    <xdr:colOff>171450</xdr:colOff>
                    <xdr:row>43</xdr:row>
                    <xdr:rowOff>104775</xdr:rowOff>
                  </from>
                  <to>
                    <xdr:col>20</xdr:col>
                    <xdr:colOff>409575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21" name="Option Button 58">
              <controlPr defaultSize="0" autoFill="0" autoLine="0" autoPict="0">
                <anchor moveWithCells="1">
                  <from>
                    <xdr:col>1</xdr:col>
                    <xdr:colOff>171450</xdr:colOff>
                    <xdr:row>45</xdr:row>
                    <xdr:rowOff>38100</xdr:rowOff>
                  </from>
                  <to>
                    <xdr:col>20</xdr:col>
                    <xdr:colOff>409575</xdr:colOff>
                    <xdr:row>46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22" name="Option Button 59">
              <controlPr defaultSize="0" autoFill="0" autoLine="0" autoPict="0">
                <anchor moveWithCells="1">
                  <from>
                    <xdr:col>1</xdr:col>
                    <xdr:colOff>171450</xdr:colOff>
                    <xdr:row>46</xdr:row>
                    <xdr:rowOff>161925</xdr:rowOff>
                  </from>
                  <to>
                    <xdr:col>20</xdr:col>
                    <xdr:colOff>409575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23" name="Option Button 60">
              <controlPr defaultSize="0" autoFill="0" autoLine="0" autoPict="0">
                <anchor moveWithCells="1">
                  <from>
                    <xdr:col>1</xdr:col>
                    <xdr:colOff>171450</xdr:colOff>
                    <xdr:row>48</xdr:row>
                    <xdr:rowOff>95250</xdr:rowOff>
                  </from>
                  <to>
                    <xdr:col>20</xdr:col>
                    <xdr:colOff>409575</xdr:colOff>
                    <xdr:row>49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24" name="Group Box 66">
              <controlPr defaultSize="0" autoFill="0" autoPict="0">
                <anchor moveWithCells="1">
                  <from>
                    <xdr:col>1</xdr:col>
                    <xdr:colOff>0</xdr:colOff>
                    <xdr:row>54</xdr:row>
                    <xdr:rowOff>114300</xdr:rowOff>
                  </from>
                  <to>
                    <xdr:col>20</xdr:col>
                    <xdr:colOff>581025</xdr:colOff>
                    <xdr:row>62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25" name="Option Button 67">
              <controlPr defaultSize="0" autoFill="0" autoLine="0" autoPict="0">
                <anchor moveWithCells="1">
                  <from>
                    <xdr:col>1</xdr:col>
                    <xdr:colOff>171450</xdr:colOff>
                    <xdr:row>55</xdr:row>
                    <xdr:rowOff>123825</xdr:rowOff>
                  </from>
                  <to>
                    <xdr:col>20</xdr:col>
                    <xdr:colOff>409575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26" name="Option Button 68">
              <controlPr defaultSize="0" autoFill="0" autoLine="0" autoPict="0">
                <anchor moveWithCells="1">
                  <from>
                    <xdr:col>1</xdr:col>
                    <xdr:colOff>171450</xdr:colOff>
                    <xdr:row>57</xdr:row>
                    <xdr:rowOff>57150</xdr:rowOff>
                  </from>
                  <to>
                    <xdr:col>20</xdr:col>
                    <xdr:colOff>409575</xdr:colOff>
                    <xdr:row>58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27" name="Option Button 69">
              <controlPr defaultSize="0" autoFill="0" autoLine="0" autoPict="0">
                <anchor moveWithCells="1">
                  <from>
                    <xdr:col>1</xdr:col>
                    <xdr:colOff>171450</xdr:colOff>
                    <xdr:row>58</xdr:row>
                    <xdr:rowOff>180975</xdr:rowOff>
                  </from>
                  <to>
                    <xdr:col>20</xdr:col>
                    <xdr:colOff>409575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28" name="Option Button 70">
              <controlPr defaultSize="0" autoFill="0" autoLine="0" autoPict="0">
                <anchor moveWithCells="1">
                  <from>
                    <xdr:col>1</xdr:col>
                    <xdr:colOff>171450</xdr:colOff>
                    <xdr:row>60</xdr:row>
                    <xdr:rowOff>114300</xdr:rowOff>
                  </from>
                  <to>
                    <xdr:col>20</xdr:col>
                    <xdr:colOff>409575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29" name="Group Box 71">
              <controlPr defaultSize="0" autoFill="0" autoPict="0">
                <anchor moveWithCells="1">
                  <from>
                    <xdr:col>1</xdr:col>
                    <xdr:colOff>9525</xdr:colOff>
                    <xdr:row>66</xdr:row>
                    <xdr:rowOff>114300</xdr:rowOff>
                  </from>
                  <to>
                    <xdr:col>20</xdr:col>
                    <xdr:colOff>590550</xdr:colOff>
                    <xdr:row>74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30" name="Option Button 72">
              <controlPr defaultSize="0" autoFill="0" autoLine="0" autoPict="0">
                <anchor moveWithCells="1">
                  <from>
                    <xdr:col>1</xdr:col>
                    <xdr:colOff>180975</xdr:colOff>
                    <xdr:row>67</xdr:row>
                    <xdr:rowOff>123825</xdr:rowOff>
                  </from>
                  <to>
                    <xdr:col>20</xdr:col>
                    <xdr:colOff>419100</xdr:colOff>
                    <xdr:row>68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31" name="Option Button 73">
              <controlPr defaultSize="0" autoFill="0" autoLine="0" autoPict="0">
                <anchor moveWithCells="1">
                  <from>
                    <xdr:col>1</xdr:col>
                    <xdr:colOff>180975</xdr:colOff>
                    <xdr:row>69</xdr:row>
                    <xdr:rowOff>57150</xdr:rowOff>
                  </from>
                  <to>
                    <xdr:col>20</xdr:col>
                    <xdr:colOff>419100</xdr:colOff>
                    <xdr:row>70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32" name="Option Button 74">
              <controlPr defaultSize="0" autoFill="0" autoLine="0" autoPict="0">
                <anchor moveWithCells="1">
                  <from>
                    <xdr:col>1</xdr:col>
                    <xdr:colOff>180975</xdr:colOff>
                    <xdr:row>70</xdr:row>
                    <xdr:rowOff>180975</xdr:rowOff>
                  </from>
                  <to>
                    <xdr:col>20</xdr:col>
                    <xdr:colOff>419100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33" name="Option Button 75">
              <controlPr defaultSize="0" autoFill="0" autoLine="0" autoPict="0">
                <anchor moveWithCells="1">
                  <from>
                    <xdr:col>1</xdr:col>
                    <xdr:colOff>180975</xdr:colOff>
                    <xdr:row>72</xdr:row>
                    <xdr:rowOff>114300</xdr:rowOff>
                  </from>
                  <to>
                    <xdr:col>20</xdr:col>
                    <xdr:colOff>419100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34" name="Group Box 76">
              <controlPr defaultSize="0" autoFill="0" autoPict="0">
                <anchor moveWithCells="1">
                  <from>
                    <xdr:col>0</xdr:col>
                    <xdr:colOff>104775</xdr:colOff>
                    <xdr:row>78</xdr:row>
                    <xdr:rowOff>85725</xdr:rowOff>
                  </from>
                  <to>
                    <xdr:col>20</xdr:col>
                    <xdr:colOff>571500</xdr:colOff>
                    <xdr:row>86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35" name="Option Button 77">
              <controlPr defaultSize="0" autoFill="0" autoLine="0" autoPict="0">
                <anchor moveWithCells="1">
                  <from>
                    <xdr:col>1</xdr:col>
                    <xdr:colOff>161925</xdr:colOff>
                    <xdr:row>79</xdr:row>
                    <xdr:rowOff>95250</xdr:rowOff>
                  </from>
                  <to>
                    <xdr:col>20</xdr:col>
                    <xdr:colOff>400050</xdr:colOff>
                    <xdr:row>80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36" name="Option Button 78">
              <controlPr defaultSize="0" autoFill="0" autoLine="0" autoPict="0">
                <anchor moveWithCells="1">
                  <from>
                    <xdr:col>1</xdr:col>
                    <xdr:colOff>161925</xdr:colOff>
                    <xdr:row>81</xdr:row>
                    <xdr:rowOff>28575</xdr:rowOff>
                  </from>
                  <to>
                    <xdr:col>20</xdr:col>
                    <xdr:colOff>400050</xdr:colOff>
                    <xdr:row>82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37" name="Option Button 79">
              <controlPr defaultSize="0" autoFill="0" autoLine="0" autoPict="0">
                <anchor moveWithCells="1">
                  <from>
                    <xdr:col>1</xdr:col>
                    <xdr:colOff>161925</xdr:colOff>
                    <xdr:row>82</xdr:row>
                    <xdr:rowOff>152400</xdr:rowOff>
                  </from>
                  <to>
                    <xdr:col>20</xdr:col>
                    <xdr:colOff>400050</xdr:colOff>
                    <xdr:row>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38" name="Option Button 80">
              <controlPr defaultSize="0" autoFill="0" autoLine="0" autoPict="0">
                <anchor moveWithCells="1">
                  <from>
                    <xdr:col>1</xdr:col>
                    <xdr:colOff>161925</xdr:colOff>
                    <xdr:row>84</xdr:row>
                    <xdr:rowOff>85725</xdr:rowOff>
                  </from>
                  <to>
                    <xdr:col>20</xdr:col>
                    <xdr:colOff>400050</xdr:colOff>
                    <xdr:row>85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39" name="Group Box 81">
              <controlPr defaultSize="0" autoFill="0" autoPict="0">
                <anchor moveWithCells="1">
                  <from>
                    <xdr:col>1</xdr:col>
                    <xdr:colOff>0</xdr:colOff>
                    <xdr:row>90</xdr:row>
                    <xdr:rowOff>104775</xdr:rowOff>
                  </from>
                  <to>
                    <xdr:col>20</xdr:col>
                    <xdr:colOff>581025</xdr:colOff>
                    <xdr:row>98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40" name="Option Button 82">
              <controlPr defaultSize="0" autoFill="0" autoLine="0" autoPict="0">
                <anchor moveWithCells="1">
                  <from>
                    <xdr:col>1</xdr:col>
                    <xdr:colOff>171450</xdr:colOff>
                    <xdr:row>91</xdr:row>
                    <xdr:rowOff>114300</xdr:rowOff>
                  </from>
                  <to>
                    <xdr:col>20</xdr:col>
                    <xdr:colOff>409575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41" name="Option Button 83">
              <controlPr defaultSize="0" autoFill="0" autoLine="0" autoPict="0">
                <anchor moveWithCells="1">
                  <from>
                    <xdr:col>1</xdr:col>
                    <xdr:colOff>171450</xdr:colOff>
                    <xdr:row>93</xdr:row>
                    <xdr:rowOff>47625</xdr:rowOff>
                  </from>
                  <to>
                    <xdr:col>20</xdr:col>
                    <xdr:colOff>409575</xdr:colOff>
                    <xdr:row>94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42" name="Option Button 84">
              <controlPr defaultSize="0" autoFill="0" autoLine="0" autoPict="0">
                <anchor moveWithCells="1">
                  <from>
                    <xdr:col>1</xdr:col>
                    <xdr:colOff>171450</xdr:colOff>
                    <xdr:row>94</xdr:row>
                    <xdr:rowOff>171450</xdr:rowOff>
                  </from>
                  <to>
                    <xdr:col>20</xdr:col>
                    <xdr:colOff>409575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43" name="Option Button 85">
              <controlPr defaultSize="0" autoFill="0" autoLine="0" autoPict="0">
                <anchor moveWithCells="1">
                  <from>
                    <xdr:col>1</xdr:col>
                    <xdr:colOff>171450</xdr:colOff>
                    <xdr:row>96</xdr:row>
                    <xdr:rowOff>104775</xdr:rowOff>
                  </from>
                  <to>
                    <xdr:col>20</xdr:col>
                    <xdr:colOff>409575</xdr:colOff>
                    <xdr:row>97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44" name="Group Box 86">
              <controlPr defaultSize="0" autoFill="0" autoPict="0">
                <anchor moveWithCells="1">
                  <from>
                    <xdr:col>1</xdr:col>
                    <xdr:colOff>9525</xdr:colOff>
                    <xdr:row>102</xdr:row>
                    <xdr:rowOff>104775</xdr:rowOff>
                  </from>
                  <to>
                    <xdr:col>20</xdr:col>
                    <xdr:colOff>590550</xdr:colOff>
                    <xdr:row>110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45" name="Option Button 87">
              <controlPr defaultSize="0" autoFill="0" autoLine="0" autoPict="0">
                <anchor moveWithCells="1">
                  <from>
                    <xdr:col>1</xdr:col>
                    <xdr:colOff>180975</xdr:colOff>
                    <xdr:row>103</xdr:row>
                    <xdr:rowOff>114300</xdr:rowOff>
                  </from>
                  <to>
                    <xdr:col>20</xdr:col>
                    <xdr:colOff>419100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46" name="Option Button 88">
              <controlPr defaultSize="0" autoFill="0" autoLine="0" autoPict="0">
                <anchor moveWithCells="1">
                  <from>
                    <xdr:col>1</xdr:col>
                    <xdr:colOff>180975</xdr:colOff>
                    <xdr:row>105</xdr:row>
                    <xdr:rowOff>47625</xdr:rowOff>
                  </from>
                  <to>
                    <xdr:col>20</xdr:col>
                    <xdr:colOff>419100</xdr:colOff>
                    <xdr:row>106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47" name="Option Button 89">
              <controlPr defaultSize="0" autoFill="0" autoLine="0" autoPict="0">
                <anchor moveWithCells="1">
                  <from>
                    <xdr:col>1</xdr:col>
                    <xdr:colOff>180975</xdr:colOff>
                    <xdr:row>106</xdr:row>
                    <xdr:rowOff>171450</xdr:rowOff>
                  </from>
                  <to>
                    <xdr:col>20</xdr:col>
                    <xdr:colOff>419100</xdr:colOff>
                    <xdr:row>108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48" name="Option Button 90">
              <controlPr defaultSize="0" autoFill="0" autoLine="0" autoPict="0">
                <anchor moveWithCells="1">
                  <from>
                    <xdr:col>1</xdr:col>
                    <xdr:colOff>180975</xdr:colOff>
                    <xdr:row>108</xdr:row>
                    <xdr:rowOff>104775</xdr:rowOff>
                  </from>
                  <to>
                    <xdr:col>20</xdr:col>
                    <xdr:colOff>419100</xdr:colOff>
                    <xdr:row>109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49" name="Group Box 91">
              <controlPr defaultSize="0" autoFill="0" autoPict="0">
                <anchor moveWithCells="1">
                  <from>
                    <xdr:col>1</xdr:col>
                    <xdr:colOff>9525</xdr:colOff>
                    <xdr:row>114</xdr:row>
                    <xdr:rowOff>85725</xdr:rowOff>
                  </from>
                  <to>
                    <xdr:col>20</xdr:col>
                    <xdr:colOff>590550</xdr:colOff>
                    <xdr:row>122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50" name="Option Button 92">
              <controlPr defaultSize="0" autoFill="0" autoLine="0" autoPict="0">
                <anchor moveWithCells="1">
                  <from>
                    <xdr:col>1</xdr:col>
                    <xdr:colOff>180975</xdr:colOff>
                    <xdr:row>115</xdr:row>
                    <xdr:rowOff>95250</xdr:rowOff>
                  </from>
                  <to>
                    <xdr:col>20</xdr:col>
                    <xdr:colOff>419100</xdr:colOff>
                    <xdr:row>116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51" name="Option Button 93">
              <controlPr defaultSize="0" autoFill="0" autoLine="0" autoPict="0">
                <anchor moveWithCells="1">
                  <from>
                    <xdr:col>1</xdr:col>
                    <xdr:colOff>180975</xdr:colOff>
                    <xdr:row>117</xdr:row>
                    <xdr:rowOff>28575</xdr:rowOff>
                  </from>
                  <to>
                    <xdr:col>20</xdr:col>
                    <xdr:colOff>419100</xdr:colOff>
                    <xdr:row>118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52" name="Option Button 94">
              <controlPr defaultSize="0" autoFill="0" autoLine="0" autoPict="0">
                <anchor moveWithCells="1">
                  <from>
                    <xdr:col>1</xdr:col>
                    <xdr:colOff>180975</xdr:colOff>
                    <xdr:row>118</xdr:row>
                    <xdr:rowOff>152400</xdr:rowOff>
                  </from>
                  <to>
                    <xdr:col>20</xdr:col>
                    <xdr:colOff>419100</xdr:colOff>
                    <xdr:row>119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53" name="Option Button 95">
              <controlPr defaultSize="0" autoFill="0" autoLine="0" autoPict="0">
                <anchor moveWithCells="1">
                  <from>
                    <xdr:col>1</xdr:col>
                    <xdr:colOff>180975</xdr:colOff>
                    <xdr:row>120</xdr:row>
                    <xdr:rowOff>85725</xdr:rowOff>
                  </from>
                  <to>
                    <xdr:col>20</xdr:col>
                    <xdr:colOff>419100</xdr:colOff>
                    <xdr:row>121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54" name="Group Box 101">
              <controlPr defaultSize="0" autoFill="0" autoPict="0">
                <anchor moveWithCells="1">
                  <from>
                    <xdr:col>1</xdr:col>
                    <xdr:colOff>9525</xdr:colOff>
                    <xdr:row>126</xdr:row>
                    <xdr:rowOff>114300</xdr:rowOff>
                  </from>
                  <to>
                    <xdr:col>20</xdr:col>
                    <xdr:colOff>590550</xdr:colOff>
                    <xdr:row>134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55" name="Option Button 102">
              <controlPr defaultSize="0" autoFill="0" autoLine="0" autoPict="0">
                <anchor moveWithCells="1">
                  <from>
                    <xdr:col>1</xdr:col>
                    <xdr:colOff>180975</xdr:colOff>
                    <xdr:row>127</xdr:row>
                    <xdr:rowOff>123825</xdr:rowOff>
                  </from>
                  <to>
                    <xdr:col>20</xdr:col>
                    <xdr:colOff>419100</xdr:colOff>
                    <xdr:row>128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56" name="Option Button 103">
              <controlPr defaultSize="0" autoFill="0" autoLine="0" autoPict="0">
                <anchor moveWithCells="1">
                  <from>
                    <xdr:col>1</xdr:col>
                    <xdr:colOff>180975</xdr:colOff>
                    <xdr:row>129</xdr:row>
                    <xdr:rowOff>57150</xdr:rowOff>
                  </from>
                  <to>
                    <xdr:col>20</xdr:col>
                    <xdr:colOff>419100</xdr:colOff>
                    <xdr:row>130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57" name="Option Button 104">
              <controlPr defaultSize="0" autoFill="0" autoLine="0" autoPict="0">
                <anchor moveWithCells="1">
                  <from>
                    <xdr:col>1</xdr:col>
                    <xdr:colOff>180975</xdr:colOff>
                    <xdr:row>130</xdr:row>
                    <xdr:rowOff>180975</xdr:rowOff>
                  </from>
                  <to>
                    <xdr:col>20</xdr:col>
                    <xdr:colOff>419100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58" name="Option Button 105">
              <controlPr defaultSize="0" autoFill="0" autoLine="0" autoPict="0">
                <anchor moveWithCells="1">
                  <from>
                    <xdr:col>1</xdr:col>
                    <xdr:colOff>180975</xdr:colOff>
                    <xdr:row>132</xdr:row>
                    <xdr:rowOff>114300</xdr:rowOff>
                  </from>
                  <to>
                    <xdr:col>20</xdr:col>
                    <xdr:colOff>419100</xdr:colOff>
                    <xdr:row>133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59" name="Group Box 106">
              <controlPr defaultSize="0" autoFill="0" autoPict="0">
                <anchor moveWithCells="1">
                  <from>
                    <xdr:col>1</xdr:col>
                    <xdr:colOff>9525</xdr:colOff>
                    <xdr:row>138</xdr:row>
                    <xdr:rowOff>95250</xdr:rowOff>
                  </from>
                  <to>
                    <xdr:col>20</xdr:col>
                    <xdr:colOff>590550</xdr:colOff>
                    <xdr:row>146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60" name="Option Button 107">
              <controlPr defaultSize="0" autoFill="0" autoLine="0" autoPict="0">
                <anchor moveWithCells="1">
                  <from>
                    <xdr:col>1</xdr:col>
                    <xdr:colOff>180975</xdr:colOff>
                    <xdr:row>139</xdr:row>
                    <xdr:rowOff>104775</xdr:rowOff>
                  </from>
                  <to>
                    <xdr:col>20</xdr:col>
                    <xdr:colOff>419100</xdr:colOff>
                    <xdr:row>140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61" name="Option Button 108">
              <controlPr defaultSize="0" autoFill="0" autoLine="0" autoPict="0">
                <anchor moveWithCells="1">
                  <from>
                    <xdr:col>1</xdr:col>
                    <xdr:colOff>180975</xdr:colOff>
                    <xdr:row>141</xdr:row>
                    <xdr:rowOff>38100</xdr:rowOff>
                  </from>
                  <to>
                    <xdr:col>20</xdr:col>
                    <xdr:colOff>419100</xdr:colOff>
                    <xdr:row>142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62" name="Option Button 109">
              <controlPr defaultSize="0" autoFill="0" autoLine="0" autoPict="0">
                <anchor moveWithCells="1">
                  <from>
                    <xdr:col>1</xdr:col>
                    <xdr:colOff>180975</xdr:colOff>
                    <xdr:row>142</xdr:row>
                    <xdr:rowOff>161925</xdr:rowOff>
                  </from>
                  <to>
                    <xdr:col>20</xdr:col>
                    <xdr:colOff>419100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63" name="Option Button 110">
              <controlPr defaultSize="0" autoFill="0" autoLine="0" autoPict="0">
                <anchor moveWithCells="1">
                  <from>
                    <xdr:col>1</xdr:col>
                    <xdr:colOff>180975</xdr:colOff>
                    <xdr:row>144</xdr:row>
                    <xdr:rowOff>95250</xdr:rowOff>
                  </from>
                  <to>
                    <xdr:col>20</xdr:col>
                    <xdr:colOff>419100</xdr:colOff>
                    <xdr:row>145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>
    <tabColor theme="8" tint="0.79998168889431442"/>
  </sheetPr>
  <dimension ref="B1:U114"/>
  <sheetViews>
    <sheetView topLeftCell="R113" zoomScale="145" zoomScaleNormal="145" workbookViewId="0">
      <selection activeCell="AF130" sqref="AF130"/>
    </sheetView>
  </sheetViews>
  <sheetFormatPr defaultRowHeight="15" customHeight="1" x14ac:dyDescent="0.25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 x14ac:dyDescent="0.25"/>
    <row r="2" spans="2:21" ht="22.5" customHeight="1" x14ac:dyDescent="0.25"/>
    <row r="3" spans="2:21" ht="61.5" customHeight="1" x14ac:dyDescent="0.25">
      <c r="B3" s="106" t="s">
        <v>256</v>
      </c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</row>
    <row r="5" spans="2:21" ht="30" customHeight="1" x14ac:dyDescent="0.25">
      <c r="B5" s="105" t="s">
        <v>47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</row>
    <row r="6" spans="2:21" ht="30" customHeight="1" x14ac:dyDescent="0.25"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</row>
    <row r="16" spans="2:21" ht="15" customHeight="1" x14ac:dyDescent="0.25">
      <c r="B16" s="110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2"/>
    </row>
    <row r="17" spans="2:21" ht="15" customHeight="1" x14ac:dyDescent="0.25"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5"/>
    </row>
    <row r="18" spans="2:21" ht="15" customHeight="1" x14ac:dyDescent="0.25">
      <c r="B18" s="116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8"/>
    </row>
    <row r="28" spans="2:21" ht="15" customHeight="1" x14ac:dyDescent="0.25">
      <c r="B28" s="110" t="s">
        <v>276</v>
      </c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2"/>
    </row>
    <row r="29" spans="2:21" ht="15" customHeight="1" x14ac:dyDescent="0.25"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5"/>
    </row>
    <row r="30" spans="2:21" ht="15" customHeight="1" x14ac:dyDescent="0.25">
      <c r="B30" s="116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8"/>
    </row>
    <row r="40" spans="2:21" ht="15" customHeight="1" x14ac:dyDescent="0.25">
      <c r="B40" s="110" t="s">
        <v>276</v>
      </c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2"/>
    </row>
    <row r="41" spans="2:21" ht="15" customHeight="1" x14ac:dyDescent="0.25"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5"/>
    </row>
    <row r="42" spans="2:21" ht="15" customHeight="1" x14ac:dyDescent="0.25">
      <c r="B42" s="116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8"/>
    </row>
    <row r="52" spans="2:21" ht="15" customHeight="1" x14ac:dyDescent="0.25">
      <c r="B52" s="110" t="s">
        <v>276</v>
      </c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2"/>
    </row>
    <row r="53" spans="2:21" ht="15" customHeight="1" x14ac:dyDescent="0.25">
      <c r="B53" s="113"/>
      <c r="C53" s="114"/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5"/>
    </row>
    <row r="54" spans="2:21" ht="15" customHeight="1" x14ac:dyDescent="0.25">
      <c r="B54" s="116"/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8"/>
    </row>
    <row r="64" spans="2:21" ht="15" customHeight="1" x14ac:dyDescent="0.25">
      <c r="B64" s="110" t="s">
        <v>276</v>
      </c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2"/>
    </row>
    <row r="65" spans="2:21" ht="15" customHeight="1" x14ac:dyDescent="0.25">
      <c r="B65" s="113"/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5"/>
    </row>
    <row r="66" spans="2:21" ht="15" customHeight="1" x14ac:dyDescent="0.25">
      <c r="B66" s="116"/>
      <c r="C66" s="117"/>
      <c r="D66" s="117"/>
      <c r="E66" s="117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117"/>
      <c r="Q66" s="117"/>
      <c r="R66" s="117"/>
      <c r="S66" s="117"/>
      <c r="T66" s="117"/>
      <c r="U66" s="118"/>
    </row>
    <row r="76" spans="2:21" ht="15" customHeight="1" x14ac:dyDescent="0.25">
      <c r="B76" s="110" t="s">
        <v>276</v>
      </c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2"/>
    </row>
    <row r="77" spans="2:21" ht="15" customHeight="1" x14ac:dyDescent="0.25">
      <c r="B77" s="113"/>
      <c r="C77" s="114"/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5"/>
    </row>
    <row r="78" spans="2:21" ht="15" customHeight="1" x14ac:dyDescent="0.25">
      <c r="B78" s="116"/>
      <c r="C78" s="117"/>
      <c r="D78" s="117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8"/>
    </row>
    <row r="88" spans="2:21" ht="15" customHeight="1" x14ac:dyDescent="0.25">
      <c r="B88" s="110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2"/>
    </row>
    <row r="89" spans="2:21" ht="15" customHeight="1" x14ac:dyDescent="0.25">
      <c r="B89" s="113"/>
      <c r="C89" s="114"/>
      <c r="D89" s="114"/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5"/>
    </row>
    <row r="90" spans="2:21" ht="15" customHeight="1" x14ac:dyDescent="0.25">
      <c r="B90" s="116"/>
      <c r="C90" s="117"/>
      <c r="D90" s="117"/>
      <c r="E90" s="117"/>
      <c r="F90" s="117"/>
      <c r="G90" s="117"/>
      <c r="H90" s="117"/>
      <c r="I90" s="117"/>
      <c r="J90" s="117"/>
      <c r="K90" s="117"/>
      <c r="L90" s="117"/>
      <c r="M90" s="117"/>
      <c r="N90" s="117"/>
      <c r="O90" s="117"/>
      <c r="P90" s="117"/>
      <c r="Q90" s="117"/>
      <c r="R90" s="117"/>
      <c r="S90" s="117"/>
      <c r="T90" s="117"/>
      <c r="U90" s="118"/>
    </row>
    <row r="100" spans="2:21" ht="15" customHeight="1" x14ac:dyDescent="0.25">
      <c r="B100" s="110" t="s">
        <v>276</v>
      </c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2"/>
    </row>
    <row r="101" spans="2:21" ht="15" customHeight="1" x14ac:dyDescent="0.25">
      <c r="B101" s="113"/>
      <c r="C101" s="114"/>
      <c r="D101" s="114"/>
      <c r="E101" s="114"/>
      <c r="F101" s="114"/>
      <c r="G101" s="114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5"/>
    </row>
    <row r="102" spans="2:21" ht="15" customHeight="1" x14ac:dyDescent="0.25">
      <c r="B102" s="116"/>
      <c r="C102" s="117"/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8"/>
    </row>
    <row r="112" spans="2:21" ht="15" customHeight="1" x14ac:dyDescent="0.25">
      <c r="B112" s="110" t="s">
        <v>276</v>
      </c>
      <c r="C112" s="111"/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2"/>
    </row>
    <row r="113" spans="2:21" ht="15" customHeight="1" x14ac:dyDescent="0.25">
      <c r="B113" s="113"/>
      <c r="C113" s="114"/>
      <c r="D113" s="114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5"/>
    </row>
    <row r="114" spans="2:21" ht="15" customHeight="1" x14ac:dyDescent="0.25">
      <c r="B114" s="116"/>
      <c r="C114" s="117"/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8"/>
    </row>
  </sheetData>
  <mergeCells count="11">
    <mergeCell ref="B112:U114"/>
    <mergeCell ref="B52:U54"/>
    <mergeCell ref="B64:U66"/>
    <mergeCell ref="B76:U78"/>
    <mergeCell ref="B88:U90"/>
    <mergeCell ref="B100:U102"/>
    <mergeCell ref="B3:U3"/>
    <mergeCell ref="B5:U6"/>
    <mergeCell ref="B16:U18"/>
    <mergeCell ref="B28:U30"/>
    <mergeCell ref="B40:U42"/>
  </mergeCells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Group Box 1">
              <controlPr defaultSize="0" autoFill="0" autoPict="0">
                <anchor moveWithCells="1">
                  <from>
                    <xdr:col>1</xdr:col>
                    <xdr:colOff>9525</xdr:colOff>
                    <xdr:row>6</xdr:row>
                    <xdr:rowOff>180975</xdr:rowOff>
                  </from>
                  <to>
                    <xdr:col>20</xdr:col>
                    <xdr:colOff>590550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Option Button 2">
              <controlPr defaultSize="0" autoFill="0" autoLine="0" autoPict="0">
                <anchor moveWithCells="1">
                  <from>
                    <xdr:col>1</xdr:col>
                    <xdr:colOff>180975</xdr:colOff>
                    <xdr:row>8</xdr:row>
                    <xdr:rowOff>0</xdr:rowOff>
                  </from>
                  <to>
                    <xdr:col>20</xdr:col>
                    <xdr:colOff>419100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Option Button 3">
              <controlPr defaultSize="0" autoFill="0" autoLine="0" autoPict="0">
                <anchor moveWithCells="1">
                  <from>
                    <xdr:col>1</xdr:col>
                    <xdr:colOff>180975</xdr:colOff>
                    <xdr:row>9</xdr:row>
                    <xdr:rowOff>123825</xdr:rowOff>
                  </from>
                  <to>
                    <xdr:col>20</xdr:col>
                    <xdr:colOff>419100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Option Button 4">
              <controlPr defaultSize="0" autoFill="0" autoLine="0" autoPict="0">
                <anchor moveWithCells="1">
                  <from>
                    <xdr:col>1</xdr:col>
                    <xdr:colOff>180975</xdr:colOff>
                    <xdr:row>11</xdr:row>
                    <xdr:rowOff>57150</xdr:rowOff>
                  </from>
                  <to>
                    <xdr:col>20</xdr:col>
                    <xdr:colOff>419100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Option Button 5">
              <controlPr defaultSize="0" autoFill="0" autoLine="0" autoPict="0">
                <anchor moveWithCells="1">
                  <from>
                    <xdr:col>1</xdr:col>
                    <xdr:colOff>180975</xdr:colOff>
                    <xdr:row>12</xdr:row>
                    <xdr:rowOff>180975</xdr:rowOff>
                  </from>
                  <to>
                    <xdr:col>20</xdr:col>
                    <xdr:colOff>419100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1" r:id="rId9" name="Group Box 181">
              <controlPr defaultSize="0" autoFill="0" autoPict="0">
                <anchor moveWithCells="1">
                  <from>
                    <xdr:col>0</xdr:col>
                    <xdr:colOff>114300</xdr:colOff>
                    <xdr:row>18</xdr:row>
                    <xdr:rowOff>104775</xdr:rowOff>
                  </from>
                  <to>
                    <xdr:col>20</xdr:col>
                    <xdr:colOff>581025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2" r:id="rId10" name="Option Button 182">
              <controlPr defaultSize="0" autoFill="0" autoLine="0" autoPict="0">
                <anchor moveWithCells="1">
                  <from>
                    <xdr:col>1</xdr:col>
                    <xdr:colOff>171450</xdr:colOff>
                    <xdr:row>19</xdr:row>
                    <xdr:rowOff>114300</xdr:rowOff>
                  </from>
                  <to>
                    <xdr:col>20</xdr:col>
                    <xdr:colOff>409575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3" r:id="rId11" name="Option Button 183">
              <controlPr defaultSize="0" autoFill="0" autoLine="0" autoPict="0">
                <anchor moveWithCells="1">
                  <from>
                    <xdr:col>1</xdr:col>
                    <xdr:colOff>171450</xdr:colOff>
                    <xdr:row>21</xdr:row>
                    <xdr:rowOff>47625</xdr:rowOff>
                  </from>
                  <to>
                    <xdr:col>20</xdr:col>
                    <xdr:colOff>409575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4" r:id="rId12" name="Option Button 184">
              <controlPr defaultSize="0" autoFill="0" autoLine="0" autoPict="0">
                <anchor moveWithCells="1">
                  <from>
                    <xdr:col>1</xdr:col>
                    <xdr:colOff>171450</xdr:colOff>
                    <xdr:row>22</xdr:row>
                    <xdr:rowOff>171450</xdr:rowOff>
                  </from>
                  <to>
                    <xdr:col>20</xdr:col>
                    <xdr:colOff>409575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5" r:id="rId13" name="Option Button 185">
              <controlPr defaultSize="0" autoFill="0" autoLine="0" autoPict="0">
                <anchor moveWithCells="1">
                  <from>
                    <xdr:col>1</xdr:col>
                    <xdr:colOff>171450</xdr:colOff>
                    <xdr:row>24</xdr:row>
                    <xdr:rowOff>104775</xdr:rowOff>
                  </from>
                  <to>
                    <xdr:col>20</xdr:col>
                    <xdr:colOff>409575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6" r:id="rId14" name="Group Box 186">
              <controlPr defaultSize="0" autoFill="0" autoPict="0">
                <anchor moveWithCells="1">
                  <from>
                    <xdr:col>0</xdr:col>
                    <xdr:colOff>114300</xdr:colOff>
                    <xdr:row>30</xdr:row>
                    <xdr:rowOff>114300</xdr:rowOff>
                  </from>
                  <to>
                    <xdr:col>20</xdr:col>
                    <xdr:colOff>581025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7" r:id="rId15" name="Option Button 187">
              <controlPr defaultSize="0" autoFill="0" autoLine="0" autoPict="0">
                <anchor moveWithCells="1">
                  <from>
                    <xdr:col>1</xdr:col>
                    <xdr:colOff>171450</xdr:colOff>
                    <xdr:row>31</xdr:row>
                    <xdr:rowOff>123825</xdr:rowOff>
                  </from>
                  <to>
                    <xdr:col>20</xdr:col>
                    <xdr:colOff>409575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8" r:id="rId16" name="Option Button 188">
              <controlPr defaultSize="0" autoFill="0" autoLine="0" autoPict="0">
                <anchor moveWithCells="1">
                  <from>
                    <xdr:col>1</xdr:col>
                    <xdr:colOff>171450</xdr:colOff>
                    <xdr:row>33</xdr:row>
                    <xdr:rowOff>57150</xdr:rowOff>
                  </from>
                  <to>
                    <xdr:col>20</xdr:col>
                    <xdr:colOff>409575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9" r:id="rId17" name="Option Button 189">
              <controlPr defaultSize="0" autoFill="0" autoLine="0" autoPict="0">
                <anchor moveWithCells="1">
                  <from>
                    <xdr:col>1</xdr:col>
                    <xdr:colOff>171450</xdr:colOff>
                    <xdr:row>34</xdr:row>
                    <xdr:rowOff>180975</xdr:rowOff>
                  </from>
                  <to>
                    <xdr:col>20</xdr:col>
                    <xdr:colOff>409575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0" r:id="rId18" name="Option Button 190">
              <controlPr defaultSize="0" autoFill="0" autoLine="0" autoPict="0">
                <anchor moveWithCells="1">
                  <from>
                    <xdr:col>1</xdr:col>
                    <xdr:colOff>171450</xdr:colOff>
                    <xdr:row>36</xdr:row>
                    <xdr:rowOff>114300</xdr:rowOff>
                  </from>
                  <to>
                    <xdr:col>20</xdr:col>
                    <xdr:colOff>409575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1" r:id="rId19" name="Group Box 191">
              <controlPr defaultSize="0" autoFill="0" autoPict="0">
                <anchor moveWithCells="1">
                  <from>
                    <xdr:col>0</xdr:col>
                    <xdr:colOff>114300</xdr:colOff>
                    <xdr:row>42</xdr:row>
                    <xdr:rowOff>95250</xdr:rowOff>
                  </from>
                  <to>
                    <xdr:col>20</xdr:col>
                    <xdr:colOff>581025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2" r:id="rId20" name="Option Button 192">
              <controlPr defaultSize="0" autoFill="0" autoLine="0" autoPict="0">
                <anchor moveWithCells="1">
                  <from>
                    <xdr:col>1</xdr:col>
                    <xdr:colOff>171450</xdr:colOff>
                    <xdr:row>43</xdr:row>
                    <xdr:rowOff>104775</xdr:rowOff>
                  </from>
                  <to>
                    <xdr:col>20</xdr:col>
                    <xdr:colOff>409575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3" r:id="rId21" name="Option Button 193">
              <controlPr defaultSize="0" autoFill="0" autoLine="0" autoPict="0">
                <anchor moveWithCells="1">
                  <from>
                    <xdr:col>1</xdr:col>
                    <xdr:colOff>171450</xdr:colOff>
                    <xdr:row>45</xdr:row>
                    <xdr:rowOff>38100</xdr:rowOff>
                  </from>
                  <to>
                    <xdr:col>20</xdr:col>
                    <xdr:colOff>409575</xdr:colOff>
                    <xdr:row>46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4" r:id="rId22" name="Option Button 194">
              <controlPr defaultSize="0" autoFill="0" autoLine="0" autoPict="0">
                <anchor moveWithCells="1">
                  <from>
                    <xdr:col>1</xdr:col>
                    <xdr:colOff>171450</xdr:colOff>
                    <xdr:row>46</xdr:row>
                    <xdr:rowOff>161925</xdr:rowOff>
                  </from>
                  <to>
                    <xdr:col>20</xdr:col>
                    <xdr:colOff>409575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5" r:id="rId23" name="Option Button 195">
              <controlPr defaultSize="0" autoFill="0" autoLine="0" autoPict="0">
                <anchor moveWithCells="1">
                  <from>
                    <xdr:col>1</xdr:col>
                    <xdr:colOff>171450</xdr:colOff>
                    <xdr:row>48</xdr:row>
                    <xdr:rowOff>95250</xdr:rowOff>
                  </from>
                  <to>
                    <xdr:col>20</xdr:col>
                    <xdr:colOff>409575</xdr:colOff>
                    <xdr:row>49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6" r:id="rId24" name="Group Box 196">
              <controlPr defaultSize="0" autoFill="0" autoPict="0">
                <anchor moveWithCells="1">
                  <from>
                    <xdr:col>0</xdr:col>
                    <xdr:colOff>114300</xdr:colOff>
                    <xdr:row>54</xdr:row>
                    <xdr:rowOff>95250</xdr:rowOff>
                  </from>
                  <to>
                    <xdr:col>20</xdr:col>
                    <xdr:colOff>581025</xdr:colOff>
                    <xdr:row>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7" r:id="rId25" name="Option Button 197">
              <controlPr defaultSize="0" autoFill="0" autoLine="0" autoPict="0">
                <anchor moveWithCells="1">
                  <from>
                    <xdr:col>1</xdr:col>
                    <xdr:colOff>171450</xdr:colOff>
                    <xdr:row>55</xdr:row>
                    <xdr:rowOff>104775</xdr:rowOff>
                  </from>
                  <to>
                    <xdr:col>20</xdr:col>
                    <xdr:colOff>409575</xdr:colOff>
                    <xdr:row>56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8" r:id="rId26" name="Option Button 198">
              <controlPr defaultSize="0" autoFill="0" autoLine="0" autoPict="0">
                <anchor moveWithCells="1">
                  <from>
                    <xdr:col>1</xdr:col>
                    <xdr:colOff>171450</xdr:colOff>
                    <xdr:row>57</xdr:row>
                    <xdr:rowOff>38100</xdr:rowOff>
                  </from>
                  <to>
                    <xdr:col>20</xdr:col>
                    <xdr:colOff>409575</xdr:colOff>
                    <xdr:row>58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9" r:id="rId27" name="Option Button 199">
              <controlPr defaultSize="0" autoFill="0" autoLine="0" autoPict="0">
                <anchor moveWithCells="1">
                  <from>
                    <xdr:col>1</xdr:col>
                    <xdr:colOff>171450</xdr:colOff>
                    <xdr:row>58</xdr:row>
                    <xdr:rowOff>161925</xdr:rowOff>
                  </from>
                  <to>
                    <xdr:col>20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0" r:id="rId28" name="Option Button 200">
              <controlPr defaultSize="0" autoFill="0" autoLine="0" autoPict="0">
                <anchor moveWithCells="1">
                  <from>
                    <xdr:col>1</xdr:col>
                    <xdr:colOff>171450</xdr:colOff>
                    <xdr:row>60</xdr:row>
                    <xdr:rowOff>95250</xdr:rowOff>
                  </from>
                  <to>
                    <xdr:col>20</xdr:col>
                    <xdr:colOff>409575</xdr:colOff>
                    <xdr:row>61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1" r:id="rId29" name="Group Box 201">
              <controlPr defaultSize="0" autoFill="0" autoPict="0">
                <anchor moveWithCells="1">
                  <from>
                    <xdr:col>1</xdr:col>
                    <xdr:colOff>9525</xdr:colOff>
                    <xdr:row>66</xdr:row>
                    <xdr:rowOff>104775</xdr:rowOff>
                  </from>
                  <to>
                    <xdr:col>20</xdr:col>
                    <xdr:colOff>590550</xdr:colOff>
                    <xdr:row>74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2" r:id="rId30" name="Option Button 202">
              <controlPr defaultSize="0" autoFill="0" autoLine="0" autoPict="0">
                <anchor moveWithCells="1">
                  <from>
                    <xdr:col>1</xdr:col>
                    <xdr:colOff>180975</xdr:colOff>
                    <xdr:row>67</xdr:row>
                    <xdr:rowOff>114300</xdr:rowOff>
                  </from>
                  <to>
                    <xdr:col>20</xdr:col>
                    <xdr:colOff>419100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3" r:id="rId31" name="Option Button 203">
              <controlPr defaultSize="0" autoFill="0" autoLine="0" autoPict="0">
                <anchor moveWithCells="1">
                  <from>
                    <xdr:col>1</xdr:col>
                    <xdr:colOff>180975</xdr:colOff>
                    <xdr:row>69</xdr:row>
                    <xdr:rowOff>47625</xdr:rowOff>
                  </from>
                  <to>
                    <xdr:col>20</xdr:col>
                    <xdr:colOff>419100</xdr:colOff>
                    <xdr:row>70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4" r:id="rId32" name="Option Button 204">
              <controlPr defaultSize="0" autoFill="0" autoLine="0" autoPict="0">
                <anchor moveWithCells="1">
                  <from>
                    <xdr:col>1</xdr:col>
                    <xdr:colOff>180975</xdr:colOff>
                    <xdr:row>70</xdr:row>
                    <xdr:rowOff>171450</xdr:rowOff>
                  </from>
                  <to>
                    <xdr:col>20</xdr:col>
                    <xdr:colOff>419100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" r:id="rId33" name="Option Button 205">
              <controlPr defaultSize="0" autoFill="0" autoLine="0" autoPict="0">
                <anchor moveWithCells="1">
                  <from>
                    <xdr:col>1</xdr:col>
                    <xdr:colOff>180975</xdr:colOff>
                    <xdr:row>72</xdr:row>
                    <xdr:rowOff>104775</xdr:rowOff>
                  </from>
                  <to>
                    <xdr:col>20</xdr:col>
                    <xdr:colOff>419100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1" r:id="rId34" name="Group Box 211">
              <controlPr defaultSize="0" autoFill="0" autoPict="0">
                <anchor moveWithCells="1">
                  <from>
                    <xdr:col>0</xdr:col>
                    <xdr:colOff>114300</xdr:colOff>
                    <xdr:row>78</xdr:row>
                    <xdr:rowOff>104775</xdr:rowOff>
                  </from>
                  <to>
                    <xdr:col>20</xdr:col>
                    <xdr:colOff>581025</xdr:colOff>
                    <xdr:row>86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2" r:id="rId35" name="Option Button 212">
              <controlPr defaultSize="0" autoFill="0" autoLine="0" autoPict="0">
                <anchor moveWithCells="1">
                  <from>
                    <xdr:col>1</xdr:col>
                    <xdr:colOff>171450</xdr:colOff>
                    <xdr:row>79</xdr:row>
                    <xdr:rowOff>114300</xdr:rowOff>
                  </from>
                  <to>
                    <xdr:col>20</xdr:col>
                    <xdr:colOff>409575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3" r:id="rId36" name="Option Button 213">
              <controlPr defaultSize="0" autoFill="0" autoLine="0" autoPict="0">
                <anchor moveWithCells="1">
                  <from>
                    <xdr:col>1</xdr:col>
                    <xdr:colOff>171450</xdr:colOff>
                    <xdr:row>81</xdr:row>
                    <xdr:rowOff>47625</xdr:rowOff>
                  </from>
                  <to>
                    <xdr:col>20</xdr:col>
                    <xdr:colOff>409575</xdr:colOff>
                    <xdr:row>82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4" r:id="rId37" name="Option Button 214">
              <controlPr defaultSize="0" autoFill="0" autoLine="0" autoPict="0">
                <anchor moveWithCells="1">
                  <from>
                    <xdr:col>1</xdr:col>
                    <xdr:colOff>171450</xdr:colOff>
                    <xdr:row>82</xdr:row>
                    <xdr:rowOff>171450</xdr:rowOff>
                  </from>
                  <to>
                    <xdr:col>20</xdr:col>
                    <xdr:colOff>409575</xdr:colOff>
                    <xdr:row>84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5" r:id="rId38" name="Option Button 215">
              <controlPr defaultSize="0" autoFill="0" autoLine="0" autoPict="0">
                <anchor moveWithCells="1">
                  <from>
                    <xdr:col>1</xdr:col>
                    <xdr:colOff>171450</xdr:colOff>
                    <xdr:row>84</xdr:row>
                    <xdr:rowOff>104775</xdr:rowOff>
                  </from>
                  <to>
                    <xdr:col>20</xdr:col>
                    <xdr:colOff>409575</xdr:colOff>
                    <xdr:row>85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6" r:id="rId39" name="Group Box 216">
              <controlPr defaultSize="0" autoFill="0" autoPict="0">
                <anchor moveWithCells="1">
                  <from>
                    <xdr:col>1</xdr:col>
                    <xdr:colOff>9525</xdr:colOff>
                    <xdr:row>90</xdr:row>
                    <xdr:rowOff>85725</xdr:rowOff>
                  </from>
                  <to>
                    <xdr:col>20</xdr:col>
                    <xdr:colOff>590550</xdr:colOff>
                    <xdr:row>98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7" r:id="rId40" name="Option Button 217">
              <controlPr defaultSize="0" autoFill="0" autoLine="0" autoPict="0">
                <anchor moveWithCells="1">
                  <from>
                    <xdr:col>1</xdr:col>
                    <xdr:colOff>180975</xdr:colOff>
                    <xdr:row>91</xdr:row>
                    <xdr:rowOff>95250</xdr:rowOff>
                  </from>
                  <to>
                    <xdr:col>20</xdr:col>
                    <xdr:colOff>419100</xdr:colOff>
                    <xdr:row>92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8" r:id="rId41" name="Option Button 218">
              <controlPr defaultSize="0" autoFill="0" autoLine="0" autoPict="0">
                <anchor moveWithCells="1">
                  <from>
                    <xdr:col>1</xdr:col>
                    <xdr:colOff>180975</xdr:colOff>
                    <xdr:row>93</xdr:row>
                    <xdr:rowOff>28575</xdr:rowOff>
                  </from>
                  <to>
                    <xdr:col>20</xdr:col>
                    <xdr:colOff>419100</xdr:colOff>
                    <xdr:row>94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9" r:id="rId42" name="Option Button 219">
              <controlPr defaultSize="0" autoFill="0" autoLine="0" autoPict="0">
                <anchor moveWithCells="1">
                  <from>
                    <xdr:col>1</xdr:col>
                    <xdr:colOff>180975</xdr:colOff>
                    <xdr:row>94</xdr:row>
                    <xdr:rowOff>152400</xdr:rowOff>
                  </from>
                  <to>
                    <xdr:col>20</xdr:col>
                    <xdr:colOff>419100</xdr:colOff>
                    <xdr:row>95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0" r:id="rId43" name="Option Button 220">
              <controlPr defaultSize="0" autoFill="0" autoLine="0" autoPict="0">
                <anchor moveWithCells="1">
                  <from>
                    <xdr:col>1</xdr:col>
                    <xdr:colOff>180975</xdr:colOff>
                    <xdr:row>96</xdr:row>
                    <xdr:rowOff>85725</xdr:rowOff>
                  </from>
                  <to>
                    <xdr:col>20</xdr:col>
                    <xdr:colOff>419100</xdr:colOff>
                    <xdr:row>97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1" r:id="rId44" name="Group Box 221">
              <controlPr defaultSize="0" autoFill="0" autoPict="0">
                <anchor moveWithCells="1">
                  <from>
                    <xdr:col>0</xdr:col>
                    <xdr:colOff>114300</xdr:colOff>
                    <xdr:row>102</xdr:row>
                    <xdr:rowOff>104775</xdr:rowOff>
                  </from>
                  <to>
                    <xdr:col>20</xdr:col>
                    <xdr:colOff>581025</xdr:colOff>
                    <xdr:row>110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2" r:id="rId45" name="Option Button 222">
              <controlPr defaultSize="0" autoFill="0" autoLine="0" autoPict="0">
                <anchor moveWithCells="1">
                  <from>
                    <xdr:col>1</xdr:col>
                    <xdr:colOff>171450</xdr:colOff>
                    <xdr:row>103</xdr:row>
                    <xdr:rowOff>114300</xdr:rowOff>
                  </from>
                  <to>
                    <xdr:col>20</xdr:col>
                    <xdr:colOff>409575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3" r:id="rId46" name="Option Button 223">
              <controlPr defaultSize="0" autoFill="0" autoLine="0" autoPict="0">
                <anchor moveWithCells="1">
                  <from>
                    <xdr:col>1</xdr:col>
                    <xdr:colOff>171450</xdr:colOff>
                    <xdr:row>105</xdr:row>
                    <xdr:rowOff>47625</xdr:rowOff>
                  </from>
                  <to>
                    <xdr:col>20</xdr:col>
                    <xdr:colOff>409575</xdr:colOff>
                    <xdr:row>106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4" r:id="rId47" name="Option Button 224">
              <controlPr defaultSize="0" autoFill="0" autoLine="0" autoPict="0">
                <anchor moveWithCells="1">
                  <from>
                    <xdr:col>1</xdr:col>
                    <xdr:colOff>171450</xdr:colOff>
                    <xdr:row>106</xdr:row>
                    <xdr:rowOff>171450</xdr:rowOff>
                  </from>
                  <to>
                    <xdr:col>20</xdr:col>
                    <xdr:colOff>409575</xdr:colOff>
                    <xdr:row>108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5" r:id="rId48" name="Option Button 225">
              <controlPr defaultSize="0" autoFill="0" autoLine="0" autoPict="0">
                <anchor moveWithCells="1">
                  <from>
                    <xdr:col>1</xdr:col>
                    <xdr:colOff>171450</xdr:colOff>
                    <xdr:row>108</xdr:row>
                    <xdr:rowOff>104775</xdr:rowOff>
                  </from>
                  <to>
                    <xdr:col>20</xdr:col>
                    <xdr:colOff>409575</xdr:colOff>
                    <xdr:row>109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>
    <tabColor theme="8" tint="0.39997558519241921"/>
  </sheetPr>
  <dimension ref="A1:M44"/>
  <sheetViews>
    <sheetView topLeftCell="A2" zoomScale="70" zoomScaleNormal="70" workbookViewId="0">
      <selection activeCell="G3" sqref="G3:G44"/>
    </sheetView>
  </sheetViews>
  <sheetFormatPr defaultRowHeight="15" x14ac:dyDescent="0.25"/>
  <cols>
    <col min="1" max="1" width="42.140625" style="3" bestFit="1" customWidth="1"/>
    <col min="2" max="2" width="65.5703125" style="3" customWidth="1"/>
    <col min="3" max="6" width="6.7109375" style="3" customWidth="1"/>
    <col min="7" max="7" width="4.140625" style="3" bestFit="1" customWidth="1"/>
    <col min="8" max="8" width="6.7109375" style="3" customWidth="1"/>
    <col min="9" max="9" width="4.140625" style="3" bestFit="1" customWidth="1"/>
    <col min="10" max="13" width="4.7109375" style="3" customWidth="1"/>
    <col min="14" max="16384" width="9.140625" style="3"/>
  </cols>
  <sheetData>
    <row r="1" spans="1:13" ht="143.25" x14ac:dyDescent="0.25">
      <c r="A1" s="5" t="s">
        <v>2</v>
      </c>
      <c r="B1" s="6" t="s">
        <v>3</v>
      </c>
      <c r="C1" s="7" t="s">
        <v>0</v>
      </c>
      <c r="D1" s="7" t="s">
        <v>39</v>
      </c>
      <c r="E1" s="7" t="s">
        <v>38</v>
      </c>
      <c r="F1" s="7" t="s">
        <v>37</v>
      </c>
      <c r="G1" s="7" t="s">
        <v>51</v>
      </c>
      <c r="H1" s="7" t="s">
        <v>51</v>
      </c>
      <c r="I1" s="7" t="s">
        <v>1</v>
      </c>
      <c r="J1" s="7" t="s">
        <v>0</v>
      </c>
      <c r="K1" s="7" t="s">
        <v>39</v>
      </c>
      <c r="L1" s="7" t="s">
        <v>38</v>
      </c>
      <c r="M1" s="9" t="s">
        <v>37</v>
      </c>
    </row>
    <row r="2" spans="1:13" x14ac:dyDescent="0.25">
      <c r="A2" s="1"/>
      <c r="B2" s="1"/>
      <c r="C2" s="4"/>
      <c r="D2" s="4"/>
      <c r="E2" s="4"/>
      <c r="F2" s="4"/>
      <c r="G2" s="2"/>
      <c r="H2" s="2"/>
      <c r="I2" s="2"/>
      <c r="J2" s="4"/>
      <c r="K2" s="4"/>
      <c r="L2" s="4"/>
      <c r="M2" s="4"/>
    </row>
    <row r="3" spans="1:13" s="28" customFormat="1" x14ac:dyDescent="0.25">
      <c r="A3" s="108" t="s">
        <v>52</v>
      </c>
      <c r="B3" s="10" t="s">
        <v>229</v>
      </c>
      <c r="C3" s="47">
        <v>0</v>
      </c>
      <c r="D3" s="47">
        <v>0.3</v>
      </c>
      <c r="E3" s="47">
        <v>0.8</v>
      </c>
      <c r="F3" s="47">
        <v>1</v>
      </c>
      <c r="G3" s="27"/>
      <c r="H3" s="47" t="str">
        <f>IF(G3=1,0%,IF(G3=2,30%,IF(G3=3,80%,IF(G3=4,100%,""))))</f>
        <v/>
      </c>
      <c r="I3" s="26">
        <f>4-G3</f>
        <v>4</v>
      </c>
      <c r="J3" s="10" t="s">
        <v>62</v>
      </c>
      <c r="K3" s="10" t="s">
        <v>63</v>
      </c>
      <c r="L3" s="10" t="s">
        <v>64</v>
      </c>
      <c r="M3" s="12" t="s">
        <v>65</v>
      </c>
    </row>
    <row r="4" spans="1:13" s="28" customFormat="1" x14ac:dyDescent="0.25">
      <c r="A4" s="128"/>
      <c r="B4" s="13" t="s">
        <v>57</v>
      </c>
      <c r="C4" s="48">
        <v>0</v>
      </c>
      <c r="D4" s="48">
        <v>0.3</v>
      </c>
      <c r="E4" s="48">
        <v>0.8</v>
      </c>
      <c r="F4" s="48">
        <v>1</v>
      </c>
      <c r="G4" s="31"/>
      <c r="H4" s="48" t="str">
        <f t="shared" ref="H4:H23" si="0">IF(G4=1,0%,IF(G4=2,30%,IF(G4=3,80%,IF(G4=4,100%,""))))</f>
        <v/>
      </c>
      <c r="I4" s="30">
        <f t="shared" ref="I4:I44" si="1">4-G4</f>
        <v>4</v>
      </c>
      <c r="J4" s="10" t="s">
        <v>66</v>
      </c>
      <c r="K4" s="10" t="s">
        <v>67</v>
      </c>
      <c r="L4" s="10" t="s">
        <v>68</v>
      </c>
      <c r="M4" s="12" t="s">
        <v>69</v>
      </c>
    </row>
    <row r="5" spans="1:13" s="28" customFormat="1" x14ac:dyDescent="0.25">
      <c r="A5" s="128"/>
      <c r="B5" s="29" t="s">
        <v>286</v>
      </c>
      <c r="C5" s="48">
        <v>0</v>
      </c>
      <c r="D5" s="48">
        <v>0.3</v>
      </c>
      <c r="E5" s="48">
        <v>0.8</v>
      </c>
      <c r="F5" s="48">
        <v>1</v>
      </c>
      <c r="G5" s="31"/>
      <c r="H5" s="48" t="str">
        <f t="shared" si="0"/>
        <v/>
      </c>
      <c r="I5" s="30">
        <f t="shared" si="1"/>
        <v>4</v>
      </c>
      <c r="J5" s="10" t="s">
        <v>287</v>
      </c>
      <c r="K5" s="10" t="s">
        <v>288</v>
      </c>
      <c r="L5" s="10" t="s">
        <v>289</v>
      </c>
      <c r="M5" s="12" t="s">
        <v>290</v>
      </c>
    </row>
    <row r="6" spans="1:13" s="28" customFormat="1" x14ac:dyDescent="0.25">
      <c r="A6" s="128"/>
      <c r="B6" s="29" t="s">
        <v>58</v>
      </c>
      <c r="C6" s="48">
        <v>0</v>
      </c>
      <c r="D6" s="48">
        <v>0.3</v>
      </c>
      <c r="E6" s="48">
        <v>0.8</v>
      </c>
      <c r="F6" s="48">
        <v>1</v>
      </c>
      <c r="G6" s="31"/>
      <c r="H6" s="48" t="str">
        <f t="shared" si="0"/>
        <v/>
      </c>
      <c r="I6" s="30">
        <f t="shared" si="1"/>
        <v>4</v>
      </c>
      <c r="J6" s="10" t="s">
        <v>70</v>
      </c>
      <c r="K6" s="10" t="s">
        <v>71</v>
      </c>
      <c r="L6" s="10" t="s">
        <v>72</v>
      </c>
      <c r="M6" s="12" t="s">
        <v>73</v>
      </c>
    </row>
    <row r="7" spans="1:13" s="28" customFormat="1" x14ac:dyDescent="0.25">
      <c r="A7" s="128"/>
      <c r="B7" s="29" t="s">
        <v>59</v>
      </c>
      <c r="C7" s="48">
        <v>0</v>
      </c>
      <c r="D7" s="48">
        <v>0.3</v>
      </c>
      <c r="E7" s="48">
        <v>0.8</v>
      </c>
      <c r="F7" s="48">
        <v>1</v>
      </c>
      <c r="G7" s="31"/>
      <c r="H7" s="48" t="str">
        <f t="shared" si="0"/>
        <v/>
      </c>
      <c r="I7" s="30">
        <f t="shared" si="1"/>
        <v>4</v>
      </c>
      <c r="J7" s="10" t="s">
        <v>74</v>
      </c>
      <c r="K7" s="10" t="s">
        <v>75</v>
      </c>
      <c r="L7" s="10" t="s">
        <v>76</v>
      </c>
      <c r="M7" s="12" t="s">
        <v>77</v>
      </c>
    </row>
    <row r="8" spans="1:13" s="28" customFormat="1" x14ac:dyDescent="0.25">
      <c r="A8" s="128"/>
      <c r="B8" s="29" t="s">
        <v>60</v>
      </c>
      <c r="C8" s="48">
        <v>0</v>
      </c>
      <c r="D8" s="48">
        <v>0.3</v>
      </c>
      <c r="E8" s="48">
        <v>0.8</v>
      </c>
      <c r="F8" s="48">
        <v>1</v>
      </c>
      <c r="G8" s="31"/>
      <c r="H8" s="48" t="str">
        <f t="shared" si="0"/>
        <v/>
      </c>
      <c r="I8" s="30">
        <f t="shared" si="1"/>
        <v>4</v>
      </c>
      <c r="J8" s="10" t="s">
        <v>78</v>
      </c>
      <c r="K8" s="10" t="s">
        <v>79</v>
      </c>
      <c r="L8" s="10" t="s">
        <v>80</v>
      </c>
      <c r="M8" s="12" t="s">
        <v>81</v>
      </c>
    </row>
    <row r="9" spans="1:13" s="28" customFormat="1" x14ac:dyDescent="0.25">
      <c r="A9" s="128"/>
      <c r="B9" s="29" t="s">
        <v>61</v>
      </c>
      <c r="C9" s="48">
        <v>0</v>
      </c>
      <c r="D9" s="48">
        <v>0.3</v>
      </c>
      <c r="E9" s="48">
        <v>0.8</v>
      </c>
      <c r="F9" s="48">
        <v>1</v>
      </c>
      <c r="G9" s="31"/>
      <c r="H9" s="48" t="str">
        <f t="shared" si="0"/>
        <v/>
      </c>
      <c r="I9" s="30">
        <f t="shared" si="1"/>
        <v>4</v>
      </c>
      <c r="J9" s="10" t="s">
        <v>82</v>
      </c>
      <c r="K9" s="10" t="s">
        <v>83</v>
      </c>
      <c r="L9" s="10" t="s">
        <v>84</v>
      </c>
      <c r="M9" s="12" t="s">
        <v>85</v>
      </c>
    </row>
    <row r="10" spans="1:13" s="28" customFormat="1" x14ac:dyDescent="0.25">
      <c r="A10" s="128"/>
      <c r="B10" s="13" t="s">
        <v>230</v>
      </c>
      <c r="C10" s="48">
        <v>0</v>
      </c>
      <c r="D10" s="48">
        <v>0.3</v>
      </c>
      <c r="E10" s="48">
        <v>0.8</v>
      </c>
      <c r="F10" s="48">
        <v>1</v>
      </c>
      <c r="G10" s="31"/>
      <c r="H10" s="48" t="str">
        <f t="shared" si="0"/>
        <v/>
      </c>
      <c r="I10" s="30">
        <f t="shared" si="1"/>
        <v>4</v>
      </c>
      <c r="J10" s="10" t="s">
        <v>86</v>
      </c>
      <c r="K10" s="10" t="s">
        <v>87</v>
      </c>
      <c r="L10" s="10" t="s">
        <v>88</v>
      </c>
      <c r="M10" s="12" t="s">
        <v>89</v>
      </c>
    </row>
    <row r="11" spans="1:13" s="37" customFormat="1" x14ac:dyDescent="0.25">
      <c r="A11" s="128"/>
      <c r="B11" s="32" t="s">
        <v>285</v>
      </c>
      <c r="C11" s="49">
        <v>0</v>
      </c>
      <c r="D11" s="49">
        <v>0.3</v>
      </c>
      <c r="E11" s="49">
        <v>0.8</v>
      </c>
      <c r="F11" s="49">
        <v>1</v>
      </c>
      <c r="G11" s="34"/>
      <c r="H11" s="49" t="str">
        <f t="shared" si="0"/>
        <v/>
      </c>
      <c r="I11" s="33">
        <f t="shared" si="1"/>
        <v>4</v>
      </c>
      <c r="J11" s="35" t="s">
        <v>261</v>
      </c>
      <c r="K11" s="35" t="s">
        <v>262</v>
      </c>
      <c r="L11" s="35" t="s">
        <v>263</v>
      </c>
      <c r="M11" s="36" t="s">
        <v>264</v>
      </c>
    </row>
    <row r="12" spans="1:13" s="28" customFormat="1" x14ac:dyDescent="0.25">
      <c r="A12" s="108" t="s">
        <v>53</v>
      </c>
      <c r="B12" s="10" t="s">
        <v>90</v>
      </c>
      <c r="C12" s="47">
        <v>0</v>
      </c>
      <c r="D12" s="47">
        <v>0.3</v>
      </c>
      <c r="E12" s="47">
        <v>0.8</v>
      </c>
      <c r="F12" s="47">
        <v>1</v>
      </c>
      <c r="G12" s="27"/>
      <c r="H12" s="47" t="str">
        <f t="shared" si="0"/>
        <v/>
      </c>
      <c r="I12" s="26">
        <f t="shared" si="1"/>
        <v>4</v>
      </c>
      <c r="J12" s="10" t="s">
        <v>91</v>
      </c>
      <c r="K12" s="10" t="s">
        <v>92</v>
      </c>
      <c r="L12" s="10" t="s">
        <v>93</v>
      </c>
      <c r="M12" s="12" t="s">
        <v>94</v>
      </c>
    </row>
    <row r="13" spans="1:13" s="28" customFormat="1" x14ac:dyDescent="0.25">
      <c r="A13" s="128"/>
      <c r="B13" s="13" t="s">
        <v>231</v>
      </c>
      <c r="C13" s="48">
        <v>0</v>
      </c>
      <c r="D13" s="48">
        <v>0.3</v>
      </c>
      <c r="E13" s="48">
        <v>0.8</v>
      </c>
      <c r="F13" s="48">
        <v>1</v>
      </c>
      <c r="G13" s="31"/>
      <c r="H13" s="48" t="str">
        <f t="shared" si="0"/>
        <v/>
      </c>
      <c r="I13" s="30">
        <f t="shared" si="1"/>
        <v>4</v>
      </c>
      <c r="J13" s="10" t="s">
        <v>95</v>
      </c>
      <c r="K13" s="10" t="s">
        <v>96</v>
      </c>
      <c r="L13" s="10" t="s">
        <v>97</v>
      </c>
      <c r="M13" s="12" t="s">
        <v>98</v>
      </c>
    </row>
    <row r="14" spans="1:13" s="28" customFormat="1" x14ac:dyDescent="0.25">
      <c r="A14" s="128"/>
      <c r="B14" s="13" t="s">
        <v>232</v>
      </c>
      <c r="C14" s="48">
        <v>0</v>
      </c>
      <c r="D14" s="48">
        <v>0.3</v>
      </c>
      <c r="E14" s="48">
        <v>0.8</v>
      </c>
      <c r="F14" s="48">
        <v>1</v>
      </c>
      <c r="G14" s="31"/>
      <c r="H14" s="48" t="str">
        <f t="shared" si="0"/>
        <v/>
      </c>
      <c r="I14" s="30">
        <f t="shared" si="1"/>
        <v>4</v>
      </c>
      <c r="J14" s="10" t="s">
        <v>99</v>
      </c>
      <c r="K14" s="10" t="s">
        <v>100</v>
      </c>
      <c r="L14" s="10" t="s">
        <v>101</v>
      </c>
      <c r="M14" s="12" t="s">
        <v>102</v>
      </c>
    </row>
    <row r="15" spans="1:13" s="28" customFormat="1" x14ac:dyDescent="0.25">
      <c r="A15" s="128"/>
      <c r="B15" s="13" t="s">
        <v>265</v>
      </c>
      <c r="C15" s="48">
        <v>0</v>
      </c>
      <c r="D15" s="48">
        <v>0.3</v>
      </c>
      <c r="E15" s="48">
        <v>0.8</v>
      </c>
      <c r="F15" s="48">
        <v>1</v>
      </c>
      <c r="G15" s="31"/>
      <c r="H15" s="48" t="str">
        <f t="shared" si="0"/>
        <v/>
      </c>
      <c r="I15" s="30">
        <f t="shared" si="1"/>
        <v>4</v>
      </c>
      <c r="J15" s="10" t="s">
        <v>103</v>
      </c>
      <c r="K15" s="10" t="s">
        <v>104</v>
      </c>
      <c r="L15" s="10" t="s">
        <v>105</v>
      </c>
      <c r="M15" s="12" t="s">
        <v>106</v>
      </c>
    </row>
    <row r="16" spans="1:13" s="28" customFormat="1" x14ac:dyDescent="0.25">
      <c r="A16" s="128"/>
      <c r="B16" s="13" t="s">
        <v>233</v>
      </c>
      <c r="C16" s="48">
        <v>0</v>
      </c>
      <c r="D16" s="48">
        <v>0.3</v>
      </c>
      <c r="E16" s="48">
        <v>0.8</v>
      </c>
      <c r="F16" s="48">
        <v>1</v>
      </c>
      <c r="G16" s="31"/>
      <c r="H16" s="48" t="str">
        <f t="shared" si="0"/>
        <v/>
      </c>
      <c r="I16" s="30">
        <f t="shared" si="1"/>
        <v>4</v>
      </c>
      <c r="J16" s="10" t="s">
        <v>107</v>
      </c>
      <c r="K16" s="10" t="s">
        <v>108</v>
      </c>
      <c r="L16" s="10" t="s">
        <v>109</v>
      </c>
      <c r="M16" s="12" t="s">
        <v>110</v>
      </c>
    </row>
    <row r="17" spans="1:13" s="28" customFormat="1" x14ac:dyDescent="0.25">
      <c r="A17" s="128"/>
      <c r="B17" s="13" t="s">
        <v>234</v>
      </c>
      <c r="C17" s="48">
        <v>0</v>
      </c>
      <c r="D17" s="48">
        <v>0.3</v>
      </c>
      <c r="E17" s="48">
        <v>0.8</v>
      </c>
      <c r="F17" s="48">
        <v>1</v>
      </c>
      <c r="G17" s="31"/>
      <c r="H17" s="48" t="str">
        <f t="shared" si="0"/>
        <v/>
      </c>
      <c r="I17" s="30">
        <f t="shared" si="1"/>
        <v>4</v>
      </c>
      <c r="J17" s="10" t="s">
        <v>111</v>
      </c>
      <c r="K17" s="10" t="s">
        <v>112</v>
      </c>
      <c r="L17" s="10" t="s">
        <v>113</v>
      </c>
      <c r="M17" s="12" t="s">
        <v>114</v>
      </c>
    </row>
    <row r="18" spans="1:13" s="28" customFormat="1" x14ac:dyDescent="0.25">
      <c r="A18" s="128"/>
      <c r="B18" s="13" t="s">
        <v>235</v>
      </c>
      <c r="C18" s="48">
        <v>0</v>
      </c>
      <c r="D18" s="48">
        <v>0.3</v>
      </c>
      <c r="E18" s="48">
        <v>0.8</v>
      </c>
      <c r="F18" s="48">
        <v>1</v>
      </c>
      <c r="G18" s="31"/>
      <c r="H18" s="48" t="str">
        <f t="shared" si="0"/>
        <v/>
      </c>
      <c r="I18" s="30">
        <f t="shared" si="1"/>
        <v>4</v>
      </c>
      <c r="J18" s="10" t="s">
        <v>115</v>
      </c>
      <c r="K18" s="10" t="s">
        <v>116</v>
      </c>
      <c r="L18" s="10" t="s">
        <v>117</v>
      </c>
      <c r="M18" s="12" t="s">
        <v>118</v>
      </c>
    </row>
    <row r="19" spans="1:13" s="28" customFormat="1" x14ac:dyDescent="0.25">
      <c r="A19" s="108" t="s">
        <v>54</v>
      </c>
      <c r="B19" s="10" t="s">
        <v>266</v>
      </c>
      <c r="C19" s="47">
        <v>0</v>
      </c>
      <c r="D19" s="47">
        <v>0.3</v>
      </c>
      <c r="E19" s="47">
        <v>0.8</v>
      </c>
      <c r="F19" s="47">
        <v>1</v>
      </c>
      <c r="G19" s="27"/>
      <c r="H19" s="47" t="str">
        <f t="shared" si="0"/>
        <v/>
      </c>
      <c r="I19" s="26">
        <f t="shared" si="1"/>
        <v>4</v>
      </c>
      <c r="J19" s="10" t="s">
        <v>268</v>
      </c>
      <c r="K19" s="10" t="s">
        <v>269</v>
      </c>
      <c r="L19" s="10" t="s">
        <v>270</v>
      </c>
      <c r="M19" s="12" t="s">
        <v>271</v>
      </c>
    </row>
    <row r="20" spans="1:13" s="28" customFormat="1" x14ac:dyDescent="0.25">
      <c r="A20" s="128"/>
      <c r="B20" s="13" t="s">
        <v>236</v>
      </c>
      <c r="C20" s="48">
        <v>0</v>
      </c>
      <c r="D20" s="48">
        <v>0.3</v>
      </c>
      <c r="E20" s="48">
        <v>0.8</v>
      </c>
      <c r="F20" s="48">
        <v>1</v>
      </c>
      <c r="G20" s="31"/>
      <c r="H20" s="48" t="str">
        <f t="shared" si="0"/>
        <v/>
      </c>
      <c r="I20" s="30">
        <f t="shared" si="1"/>
        <v>4</v>
      </c>
      <c r="J20" s="10" t="s">
        <v>120</v>
      </c>
      <c r="K20" s="10" t="s">
        <v>121</v>
      </c>
      <c r="L20" s="10" t="s">
        <v>122</v>
      </c>
      <c r="M20" s="12" t="s">
        <v>123</v>
      </c>
    </row>
    <row r="21" spans="1:13" s="28" customFormat="1" x14ac:dyDescent="0.25">
      <c r="A21" s="128"/>
      <c r="B21" s="13" t="s">
        <v>237</v>
      </c>
      <c r="C21" s="48">
        <v>0</v>
      </c>
      <c r="D21" s="48">
        <v>0.3</v>
      </c>
      <c r="E21" s="48">
        <v>0.8</v>
      </c>
      <c r="F21" s="48">
        <v>1</v>
      </c>
      <c r="G21" s="31"/>
      <c r="H21" s="48" t="str">
        <f t="shared" si="0"/>
        <v/>
      </c>
      <c r="I21" s="30">
        <f t="shared" si="1"/>
        <v>4</v>
      </c>
      <c r="J21" s="10" t="s">
        <v>124</v>
      </c>
      <c r="K21" s="10" t="s">
        <v>125</v>
      </c>
      <c r="L21" s="10" t="s">
        <v>126</v>
      </c>
      <c r="M21" s="12" t="s">
        <v>127</v>
      </c>
    </row>
    <row r="22" spans="1:13" s="28" customFormat="1" x14ac:dyDescent="0.25">
      <c r="A22" s="128"/>
      <c r="B22" s="13" t="s">
        <v>119</v>
      </c>
      <c r="C22" s="48">
        <v>0</v>
      </c>
      <c r="D22" s="48">
        <v>0.3</v>
      </c>
      <c r="E22" s="48">
        <v>0.8</v>
      </c>
      <c r="F22" s="48">
        <v>1</v>
      </c>
      <c r="G22" s="31"/>
      <c r="H22" s="48" t="str">
        <f t="shared" si="0"/>
        <v/>
      </c>
      <c r="I22" s="30">
        <f t="shared" si="1"/>
        <v>4</v>
      </c>
      <c r="J22" s="10" t="s">
        <v>128</v>
      </c>
      <c r="K22" s="10" t="s">
        <v>129</v>
      </c>
      <c r="L22" s="10" t="s">
        <v>130</v>
      </c>
      <c r="M22" s="12" t="s">
        <v>131</v>
      </c>
    </row>
    <row r="23" spans="1:13" s="28" customFormat="1" x14ac:dyDescent="0.25">
      <c r="A23" s="128"/>
      <c r="B23" s="13" t="s">
        <v>267</v>
      </c>
      <c r="C23" s="48">
        <v>0</v>
      </c>
      <c r="D23" s="48">
        <v>0.3</v>
      </c>
      <c r="E23" s="48">
        <v>0.8</v>
      </c>
      <c r="F23" s="48">
        <v>1</v>
      </c>
      <c r="G23" s="31"/>
      <c r="H23" s="48" t="str">
        <f t="shared" si="0"/>
        <v/>
      </c>
      <c r="I23" s="30">
        <f t="shared" si="1"/>
        <v>4</v>
      </c>
      <c r="J23" s="10" t="s">
        <v>272</v>
      </c>
      <c r="K23" s="10" t="s">
        <v>273</v>
      </c>
      <c r="L23" s="10" t="s">
        <v>274</v>
      </c>
      <c r="M23" s="12" t="s">
        <v>275</v>
      </c>
    </row>
    <row r="24" spans="1:13" s="28" customFormat="1" x14ac:dyDescent="0.25">
      <c r="A24" s="108" t="s">
        <v>55</v>
      </c>
      <c r="B24" s="10" t="s">
        <v>238</v>
      </c>
      <c r="C24" s="47">
        <v>0</v>
      </c>
      <c r="D24" s="47">
        <v>0.3</v>
      </c>
      <c r="E24" s="47">
        <v>0.8</v>
      </c>
      <c r="F24" s="47">
        <v>1</v>
      </c>
      <c r="G24" s="27"/>
      <c r="H24" s="47" t="str">
        <f>IF(G24=1,0%,IF(G24=2,30%,IF(G24=3,80%,IF(G24=4,100%,""))))</f>
        <v/>
      </c>
      <c r="I24" s="26">
        <f t="shared" si="1"/>
        <v>4</v>
      </c>
      <c r="J24" s="10" t="s">
        <v>137</v>
      </c>
      <c r="K24" s="10" t="s">
        <v>138</v>
      </c>
      <c r="L24" s="25" t="s">
        <v>139</v>
      </c>
      <c r="M24" s="12" t="s">
        <v>140</v>
      </c>
    </row>
    <row r="25" spans="1:13" s="28" customFormat="1" x14ac:dyDescent="0.25">
      <c r="A25" s="128"/>
      <c r="B25" s="29" t="s">
        <v>132</v>
      </c>
      <c r="C25" s="48">
        <v>0</v>
      </c>
      <c r="D25" s="48">
        <v>0.3</v>
      </c>
      <c r="E25" s="48">
        <v>0.8</v>
      </c>
      <c r="F25" s="48">
        <v>1</v>
      </c>
      <c r="G25" s="31"/>
      <c r="H25" s="48" t="str">
        <f t="shared" ref="H25:H44" si="2">IF(G25=1,0%,IF(G25=2,30%,IF(G25=3,80%,IF(G25=4,100%,""))))</f>
        <v/>
      </c>
      <c r="I25" s="30">
        <f t="shared" si="1"/>
        <v>4</v>
      </c>
      <c r="J25" s="10" t="s">
        <v>141</v>
      </c>
      <c r="K25" s="10" t="s">
        <v>142</v>
      </c>
      <c r="L25" s="10" t="s">
        <v>143</v>
      </c>
      <c r="M25" s="12" t="s">
        <v>144</v>
      </c>
    </row>
    <row r="26" spans="1:13" s="28" customFormat="1" x14ac:dyDescent="0.25">
      <c r="A26" s="128"/>
      <c r="B26" s="13" t="s">
        <v>239</v>
      </c>
      <c r="C26" s="48">
        <v>0</v>
      </c>
      <c r="D26" s="48">
        <v>0.3</v>
      </c>
      <c r="E26" s="48">
        <v>0.8</v>
      </c>
      <c r="F26" s="48">
        <v>1</v>
      </c>
      <c r="G26" s="31"/>
      <c r="H26" s="48" t="str">
        <f t="shared" si="2"/>
        <v/>
      </c>
      <c r="I26" s="30">
        <f t="shared" si="1"/>
        <v>4</v>
      </c>
      <c r="J26" s="10" t="s">
        <v>145</v>
      </c>
      <c r="K26" s="10" t="s">
        <v>146</v>
      </c>
      <c r="L26" s="10" t="s">
        <v>147</v>
      </c>
      <c r="M26" s="12" t="s">
        <v>148</v>
      </c>
    </row>
    <row r="27" spans="1:13" s="37" customFormat="1" x14ac:dyDescent="0.25">
      <c r="A27" s="128"/>
      <c r="B27" s="32" t="s">
        <v>240</v>
      </c>
      <c r="C27" s="49">
        <v>0</v>
      </c>
      <c r="D27" s="49">
        <v>0.3</v>
      </c>
      <c r="E27" s="49">
        <v>0.8</v>
      </c>
      <c r="F27" s="49">
        <v>1</v>
      </c>
      <c r="G27" s="34"/>
      <c r="H27" s="49" t="str">
        <f t="shared" si="2"/>
        <v/>
      </c>
      <c r="I27" s="33">
        <f t="shared" si="1"/>
        <v>4</v>
      </c>
      <c r="J27" s="35" t="s">
        <v>149</v>
      </c>
      <c r="K27" s="35" t="s">
        <v>150</v>
      </c>
      <c r="L27" s="35" t="s">
        <v>151</v>
      </c>
      <c r="M27" s="36" t="s">
        <v>152</v>
      </c>
    </row>
    <row r="28" spans="1:13" s="28" customFormat="1" x14ac:dyDescent="0.25">
      <c r="A28" s="128"/>
      <c r="B28" s="13" t="s">
        <v>241</v>
      </c>
      <c r="C28" s="48">
        <v>0</v>
      </c>
      <c r="D28" s="48">
        <v>0.3</v>
      </c>
      <c r="E28" s="48">
        <v>0.8</v>
      </c>
      <c r="F28" s="48">
        <v>1</v>
      </c>
      <c r="G28" s="31"/>
      <c r="H28" s="48" t="str">
        <f t="shared" si="2"/>
        <v/>
      </c>
      <c r="I28" s="30">
        <f t="shared" si="1"/>
        <v>4</v>
      </c>
      <c r="J28" s="10" t="s">
        <v>153</v>
      </c>
      <c r="K28" s="10" t="s">
        <v>154</v>
      </c>
      <c r="L28" s="10" t="s">
        <v>155</v>
      </c>
      <c r="M28" s="12" t="s">
        <v>156</v>
      </c>
    </row>
    <row r="29" spans="1:13" s="37" customFormat="1" x14ac:dyDescent="0.25">
      <c r="A29" s="128"/>
      <c r="B29" s="32" t="s">
        <v>242</v>
      </c>
      <c r="C29" s="49">
        <v>0</v>
      </c>
      <c r="D29" s="49">
        <v>0.3</v>
      </c>
      <c r="E29" s="49">
        <v>0.8</v>
      </c>
      <c r="F29" s="49">
        <v>1</v>
      </c>
      <c r="G29" s="34"/>
      <c r="H29" s="49" t="str">
        <f t="shared" si="2"/>
        <v/>
      </c>
      <c r="I29" s="33">
        <f t="shared" si="1"/>
        <v>4</v>
      </c>
      <c r="J29" s="35" t="s">
        <v>157</v>
      </c>
      <c r="K29" s="35" t="s">
        <v>158</v>
      </c>
      <c r="L29" s="35" t="s">
        <v>159</v>
      </c>
      <c r="M29" s="36" t="s">
        <v>160</v>
      </c>
    </row>
    <row r="30" spans="1:13" s="28" customFormat="1" x14ac:dyDescent="0.25">
      <c r="A30" s="128"/>
      <c r="B30" s="13" t="s">
        <v>243</v>
      </c>
      <c r="C30" s="48">
        <v>0</v>
      </c>
      <c r="D30" s="48">
        <v>0.3</v>
      </c>
      <c r="E30" s="48">
        <v>0.8</v>
      </c>
      <c r="F30" s="48">
        <v>1</v>
      </c>
      <c r="G30" s="31"/>
      <c r="H30" s="48" t="str">
        <f t="shared" si="2"/>
        <v/>
      </c>
      <c r="I30" s="30">
        <f t="shared" si="1"/>
        <v>4</v>
      </c>
      <c r="J30" s="10" t="s">
        <v>161</v>
      </c>
      <c r="K30" s="10" t="s">
        <v>162</v>
      </c>
      <c r="L30" s="10" t="s">
        <v>163</v>
      </c>
      <c r="M30" s="12" t="s">
        <v>164</v>
      </c>
    </row>
    <row r="31" spans="1:13" s="28" customFormat="1" x14ac:dyDescent="0.25">
      <c r="A31" s="128"/>
      <c r="B31" s="13" t="s">
        <v>244</v>
      </c>
      <c r="C31" s="48">
        <v>0</v>
      </c>
      <c r="D31" s="48">
        <v>0.3</v>
      </c>
      <c r="E31" s="48">
        <v>0.8</v>
      </c>
      <c r="F31" s="48">
        <v>1</v>
      </c>
      <c r="G31" s="31"/>
      <c r="H31" s="48" t="str">
        <f t="shared" si="2"/>
        <v/>
      </c>
      <c r="I31" s="30">
        <f t="shared" si="1"/>
        <v>4</v>
      </c>
      <c r="J31" s="10" t="s">
        <v>165</v>
      </c>
      <c r="K31" s="10" t="s">
        <v>166</v>
      </c>
      <c r="L31" s="10" t="s">
        <v>167</v>
      </c>
      <c r="M31" s="12" t="s">
        <v>168</v>
      </c>
    </row>
    <row r="32" spans="1:13" s="28" customFormat="1" x14ac:dyDescent="0.25">
      <c r="A32" s="128"/>
      <c r="B32" s="13" t="s">
        <v>133</v>
      </c>
      <c r="C32" s="48">
        <v>0</v>
      </c>
      <c r="D32" s="48">
        <v>0.3</v>
      </c>
      <c r="E32" s="48">
        <v>0.8</v>
      </c>
      <c r="F32" s="48">
        <v>1</v>
      </c>
      <c r="G32" s="31"/>
      <c r="H32" s="48" t="str">
        <f t="shared" si="2"/>
        <v/>
      </c>
      <c r="I32" s="30">
        <f t="shared" si="1"/>
        <v>4</v>
      </c>
      <c r="J32" s="10" t="s">
        <v>169</v>
      </c>
      <c r="K32" s="10" t="s">
        <v>170</v>
      </c>
      <c r="L32" s="10" t="s">
        <v>171</v>
      </c>
      <c r="M32" s="12" t="s">
        <v>172</v>
      </c>
    </row>
    <row r="33" spans="1:13" s="37" customFormat="1" x14ac:dyDescent="0.25">
      <c r="A33" s="128"/>
      <c r="B33" s="32" t="s">
        <v>134</v>
      </c>
      <c r="C33" s="49">
        <v>0</v>
      </c>
      <c r="D33" s="49">
        <v>0.3</v>
      </c>
      <c r="E33" s="49">
        <v>0.8</v>
      </c>
      <c r="F33" s="49">
        <v>1</v>
      </c>
      <c r="G33" s="34"/>
      <c r="H33" s="49" t="str">
        <f t="shared" si="2"/>
        <v/>
      </c>
      <c r="I33" s="33">
        <f t="shared" si="1"/>
        <v>4</v>
      </c>
      <c r="J33" s="35" t="s">
        <v>173</v>
      </c>
      <c r="K33" s="35" t="s">
        <v>174</v>
      </c>
      <c r="L33" s="35" t="s">
        <v>175</v>
      </c>
      <c r="M33" s="36" t="s">
        <v>176</v>
      </c>
    </row>
    <row r="34" spans="1:13" s="37" customFormat="1" x14ac:dyDescent="0.25">
      <c r="A34" s="128"/>
      <c r="B34" s="32" t="s">
        <v>135</v>
      </c>
      <c r="C34" s="49">
        <v>0</v>
      </c>
      <c r="D34" s="49">
        <v>0.3</v>
      </c>
      <c r="E34" s="49">
        <v>0.8</v>
      </c>
      <c r="F34" s="49">
        <v>1</v>
      </c>
      <c r="G34" s="34"/>
      <c r="H34" s="49" t="str">
        <f t="shared" si="2"/>
        <v/>
      </c>
      <c r="I34" s="33">
        <f t="shared" si="1"/>
        <v>4</v>
      </c>
      <c r="J34" s="35" t="s">
        <v>177</v>
      </c>
      <c r="K34" s="35" t="s">
        <v>178</v>
      </c>
      <c r="L34" s="35" t="s">
        <v>179</v>
      </c>
      <c r="M34" s="36" t="s">
        <v>180</v>
      </c>
    </row>
    <row r="35" spans="1:13" s="37" customFormat="1" x14ac:dyDescent="0.25">
      <c r="A35" s="128"/>
      <c r="B35" s="32" t="s">
        <v>136</v>
      </c>
      <c r="C35" s="49">
        <v>0</v>
      </c>
      <c r="D35" s="49">
        <v>0.3</v>
      </c>
      <c r="E35" s="49">
        <v>0.8</v>
      </c>
      <c r="F35" s="49">
        <v>1</v>
      </c>
      <c r="G35" s="34"/>
      <c r="H35" s="49" t="str">
        <f t="shared" si="2"/>
        <v/>
      </c>
      <c r="I35" s="33">
        <f t="shared" si="1"/>
        <v>4</v>
      </c>
      <c r="J35" s="35" t="s">
        <v>181</v>
      </c>
      <c r="K35" s="35" t="s">
        <v>182</v>
      </c>
      <c r="L35" s="35" t="s">
        <v>183</v>
      </c>
      <c r="M35" s="36" t="s">
        <v>184</v>
      </c>
    </row>
    <row r="36" spans="1:13" s="28" customFormat="1" x14ac:dyDescent="0.25">
      <c r="A36" s="108" t="s">
        <v>56</v>
      </c>
      <c r="B36" s="10" t="s">
        <v>245</v>
      </c>
      <c r="C36" s="47">
        <v>0</v>
      </c>
      <c r="D36" s="47">
        <v>0.3</v>
      </c>
      <c r="E36" s="47">
        <v>0.8</v>
      </c>
      <c r="F36" s="47">
        <v>1</v>
      </c>
      <c r="G36" s="27"/>
      <c r="H36" s="47" t="str">
        <f t="shared" si="2"/>
        <v/>
      </c>
      <c r="I36" s="26">
        <f t="shared" si="1"/>
        <v>4</v>
      </c>
      <c r="J36" s="10" t="s">
        <v>187</v>
      </c>
      <c r="K36" s="10" t="s">
        <v>188</v>
      </c>
      <c r="L36" s="10" t="s">
        <v>189</v>
      </c>
      <c r="M36" s="12" t="s">
        <v>190</v>
      </c>
    </row>
    <row r="37" spans="1:13" s="28" customFormat="1" x14ac:dyDescent="0.25">
      <c r="A37" s="109"/>
      <c r="B37" s="13" t="s">
        <v>246</v>
      </c>
      <c r="C37" s="48">
        <v>0</v>
      </c>
      <c r="D37" s="48">
        <v>0.3</v>
      </c>
      <c r="E37" s="48">
        <v>0.8</v>
      </c>
      <c r="F37" s="48">
        <v>1</v>
      </c>
      <c r="G37" s="31"/>
      <c r="H37" s="48" t="str">
        <f t="shared" si="2"/>
        <v/>
      </c>
      <c r="I37" s="30">
        <f t="shared" si="1"/>
        <v>4</v>
      </c>
      <c r="J37" s="10" t="s">
        <v>191</v>
      </c>
      <c r="K37" s="10" t="s">
        <v>192</v>
      </c>
      <c r="L37" s="10" t="s">
        <v>193</v>
      </c>
      <c r="M37" s="12" t="s">
        <v>194</v>
      </c>
    </row>
    <row r="38" spans="1:13" s="28" customFormat="1" x14ac:dyDescent="0.25">
      <c r="A38" s="109"/>
      <c r="B38" s="13" t="s">
        <v>247</v>
      </c>
      <c r="C38" s="48">
        <v>0</v>
      </c>
      <c r="D38" s="48">
        <v>0.3</v>
      </c>
      <c r="E38" s="48">
        <v>0.8</v>
      </c>
      <c r="F38" s="48">
        <v>1</v>
      </c>
      <c r="G38" s="31"/>
      <c r="H38" s="48" t="str">
        <f t="shared" si="2"/>
        <v/>
      </c>
      <c r="I38" s="30">
        <f t="shared" si="1"/>
        <v>4</v>
      </c>
      <c r="J38" s="10" t="s">
        <v>195</v>
      </c>
      <c r="K38" s="10" t="s">
        <v>196</v>
      </c>
      <c r="L38" s="10" t="s">
        <v>197</v>
      </c>
      <c r="M38" s="12" t="s">
        <v>198</v>
      </c>
    </row>
    <row r="39" spans="1:13" s="28" customFormat="1" x14ac:dyDescent="0.25">
      <c r="A39" s="109"/>
      <c r="B39" s="13" t="s">
        <v>248</v>
      </c>
      <c r="C39" s="48">
        <v>0</v>
      </c>
      <c r="D39" s="48">
        <v>0.3</v>
      </c>
      <c r="E39" s="48">
        <v>0.8</v>
      </c>
      <c r="F39" s="48">
        <v>1</v>
      </c>
      <c r="G39" s="31"/>
      <c r="H39" s="48" t="str">
        <f t="shared" si="2"/>
        <v/>
      </c>
      <c r="I39" s="30">
        <f t="shared" si="1"/>
        <v>4</v>
      </c>
      <c r="J39" s="10" t="s">
        <v>199</v>
      </c>
      <c r="K39" s="10" t="s">
        <v>200</v>
      </c>
      <c r="L39" s="10" t="s">
        <v>201</v>
      </c>
      <c r="M39" s="12" t="s">
        <v>202</v>
      </c>
    </row>
    <row r="40" spans="1:13" s="28" customFormat="1" x14ac:dyDescent="0.25">
      <c r="A40" s="128"/>
      <c r="B40" s="13" t="s">
        <v>249</v>
      </c>
      <c r="C40" s="48">
        <v>0</v>
      </c>
      <c r="D40" s="48">
        <v>0.3</v>
      </c>
      <c r="E40" s="48">
        <v>0.8</v>
      </c>
      <c r="F40" s="48">
        <v>1</v>
      </c>
      <c r="G40" s="31"/>
      <c r="H40" s="48" t="str">
        <f t="shared" si="2"/>
        <v/>
      </c>
      <c r="I40" s="30">
        <f t="shared" si="1"/>
        <v>4</v>
      </c>
      <c r="J40" s="10" t="s">
        <v>202</v>
      </c>
      <c r="K40" s="10" t="s">
        <v>203</v>
      </c>
      <c r="L40" s="10" t="s">
        <v>204</v>
      </c>
      <c r="M40" s="12" t="s">
        <v>205</v>
      </c>
    </row>
    <row r="41" spans="1:13" s="28" customFormat="1" x14ac:dyDescent="0.25">
      <c r="A41" s="128"/>
      <c r="B41" s="40" t="s">
        <v>250</v>
      </c>
      <c r="C41" s="48">
        <v>0</v>
      </c>
      <c r="D41" s="48">
        <v>0.3</v>
      </c>
      <c r="E41" s="48">
        <v>0.8</v>
      </c>
      <c r="F41" s="48">
        <v>1</v>
      </c>
      <c r="G41" s="31"/>
      <c r="H41" s="48" t="str">
        <f t="shared" si="2"/>
        <v/>
      </c>
      <c r="I41" s="30">
        <f t="shared" si="1"/>
        <v>4</v>
      </c>
      <c r="J41" s="10" t="s">
        <v>206</v>
      </c>
      <c r="K41" s="10" t="s">
        <v>207</v>
      </c>
      <c r="L41" s="10" t="s">
        <v>208</v>
      </c>
      <c r="M41" s="12" t="s">
        <v>209</v>
      </c>
    </row>
    <row r="42" spans="1:13" s="37" customFormat="1" x14ac:dyDescent="0.25">
      <c r="A42" s="128"/>
      <c r="B42" s="32" t="s">
        <v>251</v>
      </c>
      <c r="C42" s="49">
        <v>0</v>
      </c>
      <c r="D42" s="49">
        <v>0.3</v>
      </c>
      <c r="E42" s="49">
        <v>0.8</v>
      </c>
      <c r="F42" s="49">
        <v>1</v>
      </c>
      <c r="G42" s="34"/>
      <c r="H42" s="49" t="str">
        <f t="shared" si="2"/>
        <v/>
      </c>
      <c r="I42" s="33">
        <f t="shared" si="1"/>
        <v>4</v>
      </c>
      <c r="J42" s="35" t="s">
        <v>210</v>
      </c>
      <c r="K42" s="35" t="s">
        <v>211</v>
      </c>
      <c r="L42" s="35" t="s">
        <v>212</v>
      </c>
      <c r="M42" s="36" t="s">
        <v>213</v>
      </c>
    </row>
    <row r="43" spans="1:13" s="28" customFormat="1" x14ac:dyDescent="0.25">
      <c r="A43" s="128"/>
      <c r="B43" s="29" t="s">
        <v>185</v>
      </c>
      <c r="C43" s="48">
        <v>0</v>
      </c>
      <c r="D43" s="48">
        <v>0.3</v>
      </c>
      <c r="E43" s="48">
        <v>0.8</v>
      </c>
      <c r="F43" s="48">
        <v>1</v>
      </c>
      <c r="G43" s="31"/>
      <c r="H43" s="48" t="str">
        <f t="shared" si="2"/>
        <v/>
      </c>
      <c r="I43" s="30">
        <f t="shared" ref="I43" si="3">4-G43</f>
        <v>4</v>
      </c>
      <c r="J43" s="10" t="s">
        <v>214</v>
      </c>
      <c r="K43" s="10" t="s">
        <v>215</v>
      </c>
      <c r="L43" s="10" t="s">
        <v>216</v>
      </c>
      <c r="M43" s="12" t="s">
        <v>217</v>
      </c>
    </row>
    <row r="44" spans="1:13" s="28" customFormat="1" x14ac:dyDescent="0.25">
      <c r="A44" s="128"/>
      <c r="B44" s="29" t="s">
        <v>186</v>
      </c>
      <c r="C44" s="48">
        <v>0</v>
      </c>
      <c r="D44" s="48">
        <v>0.3</v>
      </c>
      <c r="E44" s="48">
        <v>0.8</v>
      </c>
      <c r="F44" s="48">
        <v>1</v>
      </c>
      <c r="G44" s="31"/>
      <c r="H44" s="48" t="str">
        <f t="shared" si="2"/>
        <v/>
      </c>
      <c r="I44" s="30">
        <f t="shared" si="1"/>
        <v>4</v>
      </c>
      <c r="J44" s="10" t="s">
        <v>218</v>
      </c>
      <c r="K44" s="10" t="s">
        <v>219</v>
      </c>
      <c r="L44" s="10" t="s">
        <v>220</v>
      </c>
      <c r="M44" s="12" t="s">
        <v>221</v>
      </c>
    </row>
  </sheetData>
  <mergeCells count="5">
    <mergeCell ref="A3:A11"/>
    <mergeCell ref="A12:A18"/>
    <mergeCell ref="A19:A23"/>
    <mergeCell ref="A24:A35"/>
    <mergeCell ref="A36:A4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>
    <tabColor theme="8" tint="0.39997558519241921"/>
  </sheetPr>
  <dimension ref="A1:G7"/>
  <sheetViews>
    <sheetView zoomScale="90" zoomScaleNormal="90" workbookViewId="0">
      <selection activeCell="F3" sqref="F3:F7"/>
    </sheetView>
  </sheetViews>
  <sheetFormatPr defaultRowHeight="15" x14ac:dyDescent="0.25"/>
  <cols>
    <col min="1" max="1" width="40.85546875" style="3" bestFit="1" customWidth="1"/>
    <col min="2" max="7" width="20.7109375" style="3" customWidth="1"/>
    <col min="8" max="16384" width="9.140625" style="3"/>
  </cols>
  <sheetData>
    <row r="1" spans="1:7" ht="30" x14ac:dyDescent="0.25">
      <c r="A1" s="5" t="s">
        <v>222</v>
      </c>
      <c r="B1" s="6" t="s">
        <v>0</v>
      </c>
      <c r="C1" s="6" t="s">
        <v>39</v>
      </c>
      <c r="D1" s="6" t="s">
        <v>38</v>
      </c>
      <c r="E1" s="6" t="s">
        <v>37</v>
      </c>
      <c r="F1" s="8" t="s">
        <v>228</v>
      </c>
      <c r="G1" s="15" t="s">
        <v>1</v>
      </c>
    </row>
    <row r="2" spans="1:7" x14ac:dyDescent="0.25">
      <c r="A2" s="1"/>
      <c r="B2" s="1"/>
      <c r="C2" s="1"/>
      <c r="D2" s="1"/>
      <c r="E2" s="1"/>
      <c r="F2" s="2"/>
      <c r="G2" s="2"/>
    </row>
    <row r="3" spans="1:7" x14ac:dyDescent="0.25">
      <c r="A3" s="38" t="s">
        <v>223</v>
      </c>
      <c r="B3" s="50">
        <v>0</v>
      </c>
      <c r="C3" s="50">
        <v>0.3</v>
      </c>
      <c r="D3" s="50">
        <v>0.8</v>
      </c>
      <c r="E3" s="50">
        <v>1</v>
      </c>
      <c r="F3" s="50" t="e">
        <f>AVERAGE(Consolida_Dimensões_Analítico!$H$3:$H$11)</f>
        <v>#DIV/0!</v>
      </c>
      <c r="G3" s="50" t="e">
        <f>1-F3</f>
        <v>#DIV/0!</v>
      </c>
    </row>
    <row r="4" spans="1:7" x14ac:dyDescent="0.25">
      <c r="A4" s="39" t="s">
        <v>224</v>
      </c>
      <c r="B4" s="51">
        <v>0</v>
      </c>
      <c r="C4" s="51">
        <v>0.3</v>
      </c>
      <c r="D4" s="51">
        <v>0.8</v>
      </c>
      <c r="E4" s="51">
        <v>1</v>
      </c>
      <c r="F4" s="51" t="e">
        <f>AVERAGE(Consolida_Dimensões_Analítico!$H$12:$H$18)</f>
        <v>#DIV/0!</v>
      </c>
      <c r="G4" s="51" t="e">
        <f t="shared" ref="G4:G7" si="0">1-F4</f>
        <v>#DIV/0!</v>
      </c>
    </row>
    <row r="5" spans="1:7" x14ac:dyDescent="0.25">
      <c r="A5" s="38" t="s">
        <v>225</v>
      </c>
      <c r="B5" s="50">
        <v>0</v>
      </c>
      <c r="C5" s="50">
        <v>0.3</v>
      </c>
      <c r="D5" s="50">
        <v>0.8</v>
      </c>
      <c r="E5" s="50">
        <v>1</v>
      </c>
      <c r="F5" s="50" t="e">
        <f>AVERAGE(Consolida_Dimensões_Analítico!$H$19:$H$23)</f>
        <v>#DIV/0!</v>
      </c>
      <c r="G5" s="50" t="e">
        <f t="shared" si="0"/>
        <v>#DIV/0!</v>
      </c>
    </row>
    <row r="6" spans="1:7" x14ac:dyDescent="0.25">
      <c r="A6" s="39" t="s">
        <v>226</v>
      </c>
      <c r="B6" s="51">
        <v>0</v>
      </c>
      <c r="C6" s="51">
        <v>0.3</v>
      </c>
      <c r="D6" s="51">
        <v>0.8</v>
      </c>
      <c r="E6" s="51">
        <v>1</v>
      </c>
      <c r="F6" s="51" t="e">
        <f>AVERAGE(Consolida_Dimensões_Analítico!$H$24:$H$35)</f>
        <v>#DIV/0!</v>
      </c>
      <c r="G6" s="51" t="e">
        <f t="shared" si="0"/>
        <v>#DIV/0!</v>
      </c>
    </row>
    <row r="7" spans="1:7" x14ac:dyDescent="0.25">
      <c r="A7" s="38" t="s">
        <v>227</v>
      </c>
      <c r="B7" s="50">
        <v>0</v>
      </c>
      <c r="C7" s="50">
        <v>0.3</v>
      </c>
      <c r="D7" s="50">
        <v>0.8</v>
      </c>
      <c r="E7" s="50">
        <v>1</v>
      </c>
      <c r="F7" s="50" t="e">
        <f>AVERAGE(Consolida_Dimensões_Analítico!$H$36:$H$44)</f>
        <v>#DIV/0!</v>
      </c>
      <c r="G7" s="50" t="e">
        <f t="shared" si="0"/>
        <v>#DIV/0!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8" tint="-0.499984740745262"/>
  </sheetPr>
  <dimension ref="B8:C23"/>
  <sheetViews>
    <sheetView topLeftCell="E1" zoomScaleNormal="100" workbookViewId="0">
      <selection activeCell="X12" sqref="X12"/>
    </sheetView>
  </sheetViews>
  <sheetFormatPr defaultRowHeight="15" x14ac:dyDescent="0.25"/>
  <cols>
    <col min="1" max="16384" width="9.140625" style="3"/>
  </cols>
  <sheetData>
    <row r="8" ht="51.75" customHeight="1" x14ac:dyDescent="0.25"/>
    <row r="12" ht="45.75" customHeight="1" x14ac:dyDescent="0.25"/>
    <row r="14" ht="49.5" customHeight="1" x14ac:dyDescent="0.25"/>
    <row r="15" ht="18.75" customHeight="1" x14ac:dyDescent="0.25"/>
    <row r="23" spans="2:3" x14ac:dyDescent="0.25">
      <c r="B23" s="59" t="s">
        <v>283</v>
      </c>
      <c r="C23" s="81" t="e">
        <f>AVERAGE(Consolida_Dimensões_Sintético!$F$3:$F$7)</f>
        <v>#DIV/0!</v>
      </c>
    </row>
  </sheetData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theme="8" tint="-0.499984740745262"/>
  </sheetPr>
  <dimension ref="B63:C63"/>
  <sheetViews>
    <sheetView topLeftCell="A2" zoomScale="40" zoomScaleNormal="40" workbookViewId="0">
      <selection activeCell="C62" sqref="C62"/>
    </sheetView>
  </sheetViews>
  <sheetFormatPr defaultRowHeight="15" x14ac:dyDescent="0.25"/>
  <cols>
    <col min="1" max="1" width="9.140625" style="3"/>
    <col min="2" max="2" width="16.7109375" style="3" customWidth="1"/>
    <col min="3" max="3" width="17.5703125" style="3" customWidth="1"/>
    <col min="4" max="16384" width="9.140625" style="3"/>
  </cols>
  <sheetData>
    <row r="63" spans="2:3" ht="21" x14ac:dyDescent="0.35">
      <c r="B63" s="80" t="s">
        <v>283</v>
      </c>
      <c r="C63" s="82" t="e">
        <f>AVERAGE(Consolida_Dimensões_Sintético!F3:F7)</f>
        <v>#DIV/0!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V43"/>
  <sheetViews>
    <sheetView showGridLines="0" zoomScale="90" zoomScaleNormal="90" workbookViewId="0">
      <selection activeCell="R11" sqref="R11"/>
    </sheetView>
  </sheetViews>
  <sheetFormatPr defaultRowHeight="15" x14ac:dyDescent="0.25"/>
  <cols>
    <col min="1" max="1" width="2.140625" style="68" customWidth="1"/>
    <col min="2" max="2" width="2.42578125" style="68" customWidth="1"/>
    <col min="3" max="3" width="11.28515625" style="68" customWidth="1"/>
    <col min="4" max="4" width="20.85546875" style="68" customWidth="1"/>
    <col min="5" max="5" width="23.85546875" style="68" customWidth="1"/>
    <col min="6" max="6" width="13.28515625" style="68" customWidth="1"/>
    <col min="7" max="7" width="12.5703125" style="68" bestFit="1" customWidth="1"/>
    <col min="8" max="8" width="5.140625" style="68" customWidth="1"/>
    <col min="9" max="9" width="10.42578125" style="68" customWidth="1"/>
    <col min="10" max="10" width="13.85546875" style="68" customWidth="1"/>
    <col min="11" max="14" width="9.140625" style="68"/>
    <col min="15" max="15" width="10.28515625" style="83" customWidth="1"/>
    <col min="16" max="16" width="9.42578125" style="73" bestFit="1" customWidth="1"/>
    <col min="17" max="17" width="13.42578125" style="73" bestFit="1" customWidth="1"/>
    <col min="18" max="18" width="12.42578125" style="73" bestFit="1" customWidth="1"/>
    <col min="19" max="19" width="12.5703125" style="73" bestFit="1" customWidth="1"/>
    <col min="20" max="20" width="13.42578125" style="73" bestFit="1" customWidth="1"/>
    <col min="21" max="21" width="9.140625" style="100"/>
    <col min="22" max="16384" width="9.140625" style="68"/>
  </cols>
  <sheetData>
    <row r="1" spans="1:22" ht="15.75" x14ac:dyDescent="0.25">
      <c r="G1" s="74"/>
      <c r="H1" s="74"/>
      <c r="I1" s="74"/>
      <c r="J1" s="74"/>
      <c r="K1" s="74"/>
    </row>
    <row r="2" spans="1:22" ht="18.75" x14ac:dyDescent="0.3">
      <c r="F2" s="86" t="s">
        <v>296</v>
      </c>
      <c r="H2" s="74"/>
      <c r="I2" s="74"/>
      <c r="J2" s="74"/>
      <c r="K2" s="74"/>
      <c r="L2" s="75"/>
      <c r="M2" s="75"/>
    </row>
    <row r="3" spans="1:22" x14ac:dyDescent="0.25">
      <c r="A3" s="69"/>
      <c r="B3" s="69"/>
      <c r="C3" s="69"/>
      <c r="D3" s="69"/>
      <c r="E3" s="69"/>
      <c r="F3" s="69"/>
      <c r="V3" s="69"/>
    </row>
    <row r="4" spans="1:22" x14ac:dyDescent="0.25">
      <c r="C4" s="77" t="s">
        <v>279</v>
      </c>
      <c r="D4" s="52" t="e">
        <f>AVERAGE(Consolida_PE!P3:P32)</f>
        <v>#DIV/0!</v>
      </c>
      <c r="E4" s="53"/>
      <c r="F4" s="53"/>
      <c r="G4" s="53"/>
      <c r="H4" s="53"/>
      <c r="I4" s="53"/>
      <c r="J4" s="53"/>
      <c r="K4" s="53"/>
      <c r="L4" s="53"/>
      <c r="M4" s="53"/>
      <c r="N4" s="53"/>
      <c r="O4" s="101"/>
      <c r="Q4" s="73" t="b">
        <v>1</v>
      </c>
      <c r="V4" s="69"/>
    </row>
    <row r="5" spans="1:22" x14ac:dyDescent="0.25">
      <c r="C5" s="78" t="s">
        <v>280</v>
      </c>
      <c r="D5" s="54" t="e">
        <f>AVERAGE(Consolida_Dimensões_Sintético!F3:F7)</f>
        <v>#DIV/0!</v>
      </c>
      <c r="E5" s="55"/>
      <c r="F5" s="55"/>
      <c r="G5" s="55"/>
      <c r="H5" s="55"/>
      <c r="I5" s="55"/>
      <c r="J5" s="55"/>
      <c r="K5" s="55"/>
      <c r="L5" s="55"/>
      <c r="M5" s="55"/>
      <c r="N5" s="55"/>
      <c r="O5" s="102"/>
      <c r="P5" s="73">
        <v>1</v>
      </c>
      <c r="Q5" s="73" t="b">
        <v>0</v>
      </c>
      <c r="R5" s="73" t="b">
        <v>0</v>
      </c>
      <c r="S5" s="73" t="b">
        <v>1</v>
      </c>
      <c r="T5" s="73" t="b">
        <v>0</v>
      </c>
      <c r="V5" s="69"/>
    </row>
    <row r="6" spans="1:22" x14ac:dyDescent="0.25">
      <c r="C6" s="79" t="s">
        <v>281</v>
      </c>
      <c r="D6" s="54">
        <f>AVERAGE(O7:O24)</f>
        <v>0.46111111111111114</v>
      </c>
      <c r="E6" s="55"/>
      <c r="F6" s="55"/>
      <c r="G6" s="55"/>
      <c r="H6" s="55"/>
      <c r="I6" s="55"/>
      <c r="J6" s="55"/>
      <c r="K6" s="55"/>
      <c r="L6" s="55"/>
      <c r="M6" s="55"/>
      <c r="N6" s="55"/>
      <c r="O6" s="102"/>
      <c r="Q6" s="95">
        <v>0</v>
      </c>
      <c r="R6" s="95">
        <v>0.33</v>
      </c>
      <c r="S6" s="95">
        <v>0.66</v>
      </c>
      <c r="T6" s="95">
        <v>1</v>
      </c>
      <c r="V6" s="69"/>
    </row>
    <row r="7" spans="1:22" ht="16.5" customHeight="1" x14ac:dyDescent="0.25">
      <c r="C7" s="129" t="s">
        <v>292</v>
      </c>
      <c r="D7" s="130"/>
      <c r="E7" s="130"/>
      <c r="F7" s="130"/>
      <c r="G7" s="130"/>
      <c r="H7" s="130"/>
      <c r="I7" s="130"/>
      <c r="J7" s="130"/>
      <c r="K7" s="130"/>
      <c r="L7" s="130"/>
      <c r="M7" s="90"/>
      <c r="N7" s="62"/>
      <c r="O7" s="96">
        <f>SUMIF(Q5:T5,Q4,Q6:T6)</f>
        <v>0.66</v>
      </c>
      <c r="P7" s="73">
        <v>2</v>
      </c>
      <c r="Q7" s="73" t="b">
        <v>0</v>
      </c>
      <c r="R7" s="73" t="b">
        <v>0</v>
      </c>
      <c r="S7" s="73" t="b">
        <v>1</v>
      </c>
      <c r="T7" s="73" t="b">
        <v>0</v>
      </c>
      <c r="V7" s="69"/>
    </row>
    <row r="8" spans="1:22" ht="16.5" customHeight="1" x14ac:dyDescent="0.25">
      <c r="C8" s="87"/>
      <c r="D8" s="88" t="s">
        <v>311</v>
      </c>
      <c r="E8" s="88"/>
      <c r="F8" s="88"/>
      <c r="G8" s="88"/>
      <c r="H8" s="88"/>
      <c r="I8" s="88"/>
      <c r="J8" s="88"/>
      <c r="K8" s="88"/>
      <c r="L8" s="88"/>
      <c r="M8" s="88"/>
      <c r="N8" s="62"/>
      <c r="O8" s="96">
        <f>SUMIF(Q7:T7,Q4,Q8:T8)</f>
        <v>0.66</v>
      </c>
      <c r="Q8" s="95">
        <v>0</v>
      </c>
      <c r="R8" s="95">
        <v>0.33</v>
      </c>
      <c r="S8" s="95">
        <v>0.66</v>
      </c>
      <c r="T8" s="95">
        <v>1</v>
      </c>
      <c r="V8" s="69"/>
    </row>
    <row r="9" spans="1:22" ht="16.5" customHeight="1" x14ac:dyDescent="0.25">
      <c r="C9" s="131" t="s">
        <v>293</v>
      </c>
      <c r="D9" s="132"/>
      <c r="E9" s="132"/>
      <c r="F9" s="132"/>
      <c r="G9" s="132"/>
      <c r="H9" s="132"/>
      <c r="I9" s="132"/>
      <c r="J9" s="132"/>
      <c r="K9" s="132"/>
      <c r="L9" s="62"/>
      <c r="M9" s="62"/>
      <c r="N9" s="62"/>
      <c r="O9" s="96">
        <f>SUMIF(Q9:T9,Q4,Q10:T10)</f>
        <v>0.33</v>
      </c>
      <c r="P9" s="73">
        <v>3</v>
      </c>
      <c r="Q9" s="73" t="b">
        <v>0</v>
      </c>
      <c r="R9" s="73" t="b">
        <v>1</v>
      </c>
      <c r="S9" s="73" t="b">
        <v>0</v>
      </c>
      <c r="T9" s="73" t="b">
        <v>0</v>
      </c>
      <c r="V9" s="69"/>
    </row>
    <row r="10" spans="1:22" ht="16.5" customHeight="1" x14ac:dyDescent="0.25">
      <c r="C10" s="87"/>
      <c r="D10" s="88" t="s">
        <v>299</v>
      </c>
      <c r="E10" s="88"/>
      <c r="F10" s="88" t="s">
        <v>297</v>
      </c>
      <c r="G10" s="97"/>
      <c r="H10" s="88"/>
      <c r="I10" s="88" t="s">
        <v>298</v>
      </c>
      <c r="J10" s="97"/>
      <c r="K10" s="88"/>
      <c r="L10" s="62"/>
      <c r="M10" s="62"/>
      <c r="N10" s="62"/>
      <c r="O10" s="96">
        <f>SUMIF(Q11:R11,Q4,Q12:R12)</f>
        <v>0</v>
      </c>
      <c r="Q10" s="95">
        <v>0</v>
      </c>
      <c r="R10" s="95">
        <v>0.33</v>
      </c>
      <c r="S10" s="95">
        <v>0.66</v>
      </c>
      <c r="T10" s="95">
        <v>1</v>
      </c>
      <c r="V10" s="69"/>
    </row>
    <row r="11" spans="1:22" ht="16.5" customHeight="1" x14ac:dyDescent="0.25">
      <c r="C11" s="87"/>
      <c r="D11" s="88" t="s">
        <v>300</v>
      </c>
      <c r="E11" s="88"/>
      <c r="F11" s="88" t="s">
        <v>297</v>
      </c>
      <c r="G11" s="97"/>
      <c r="H11" s="88"/>
      <c r="I11" s="88" t="s">
        <v>298</v>
      </c>
      <c r="J11" s="97"/>
      <c r="K11" s="88"/>
      <c r="L11" s="62"/>
      <c r="M11" s="62"/>
      <c r="N11" s="62"/>
      <c r="O11" s="96">
        <f>SUMIF(Q13:R13,Q4,Q14:R14)</f>
        <v>1</v>
      </c>
      <c r="P11" s="73">
        <v>4</v>
      </c>
      <c r="Q11" s="73" t="b">
        <v>1</v>
      </c>
      <c r="R11" s="73" t="b">
        <v>0</v>
      </c>
      <c r="V11" s="69"/>
    </row>
    <row r="12" spans="1:22" ht="16.5" customHeight="1" x14ac:dyDescent="0.25">
      <c r="C12" s="87"/>
      <c r="D12" s="88" t="s">
        <v>301</v>
      </c>
      <c r="E12" s="88"/>
      <c r="F12" s="88" t="s">
        <v>297</v>
      </c>
      <c r="G12" s="98"/>
      <c r="H12" s="88"/>
      <c r="I12" s="88" t="s">
        <v>298</v>
      </c>
      <c r="J12" s="98"/>
      <c r="K12" s="88"/>
      <c r="L12" s="62"/>
      <c r="M12" s="62"/>
      <c r="N12" s="62"/>
      <c r="O12" s="96">
        <f>SUMIF(Q15:R15,Q4,Q16:R16)</f>
        <v>0</v>
      </c>
      <c r="Q12" s="95">
        <v>0</v>
      </c>
      <c r="R12" s="95">
        <v>1</v>
      </c>
      <c r="S12" s="95"/>
      <c r="T12" s="95"/>
      <c r="V12" s="69"/>
    </row>
    <row r="13" spans="1:22" ht="16.5" customHeight="1" x14ac:dyDescent="0.25">
      <c r="C13" s="87"/>
      <c r="D13" s="88" t="s">
        <v>302</v>
      </c>
      <c r="E13" s="88"/>
      <c r="F13" s="88" t="s">
        <v>297</v>
      </c>
      <c r="G13" s="97"/>
      <c r="H13" s="88"/>
      <c r="I13" s="88" t="s">
        <v>298</v>
      </c>
      <c r="J13" s="97"/>
      <c r="K13" s="88"/>
      <c r="L13" s="62"/>
      <c r="M13" s="62"/>
      <c r="N13" s="62"/>
      <c r="O13" s="96">
        <f>SUMIF(Q17:R17,Q4,Q18:R18)</f>
        <v>0</v>
      </c>
      <c r="P13" s="73">
        <v>5</v>
      </c>
      <c r="Q13" s="73" t="b">
        <v>1</v>
      </c>
      <c r="R13" s="73" t="b">
        <v>1</v>
      </c>
      <c r="V13" s="69"/>
    </row>
    <row r="14" spans="1:22" ht="16.5" customHeight="1" x14ac:dyDescent="0.25">
      <c r="C14" s="87"/>
      <c r="D14" s="88" t="s">
        <v>303</v>
      </c>
      <c r="E14" s="88"/>
      <c r="F14" s="88" t="s">
        <v>297</v>
      </c>
      <c r="G14" s="99" t="s">
        <v>317</v>
      </c>
      <c r="H14" s="88"/>
      <c r="I14" s="88" t="s">
        <v>298</v>
      </c>
      <c r="J14" s="99" t="s">
        <v>318</v>
      </c>
      <c r="K14" s="88"/>
      <c r="L14" s="62"/>
      <c r="M14" s="62"/>
      <c r="N14" s="62"/>
      <c r="O14" s="96">
        <f>SUMIF(Q19:R19,Q4,Q20:R20)</f>
        <v>1</v>
      </c>
      <c r="Q14" s="95">
        <v>0</v>
      </c>
      <c r="R14" s="95">
        <v>1</v>
      </c>
      <c r="S14" s="95"/>
      <c r="T14" s="95"/>
      <c r="V14" s="69"/>
    </row>
    <row r="15" spans="1:22" ht="16.5" customHeight="1" x14ac:dyDescent="0.25">
      <c r="C15" s="87"/>
      <c r="D15" s="88" t="s">
        <v>304</v>
      </c>
      <c r="E15" s="88"/>
      <c r="F15" s="88" t="s">
        <v>297</v>
      </c>
      <c r="G15" s="97"/>
      <c r="H15" s="88"/>
      <c r="I15" s="88" t="s">
        <v>298</v>
      </c>
      <c r="J15" s="97"/>
      <c r="K15" s="88"/>
      <c r="L15" s="62"/>
      <c r="M15" s="62"/>
      <c r="N15" s="62"/>
      <c r="O15" s="96">
        <f>SUMIF(Q21:R21,Q4,Q22:R22)</f>
        <v>0</v>
      </c>
      <c r="P15" s="73">
        <v>6</v>
      </c>
      <c r="Q15" s="73" t="b">
        <v>1</v>
      </c>
      <c r="R15" s="73" t="b">
        <v>0</v>
      </c>
      <c r="V15" s="69"/>
    </row>
    <row r="16" spans="1:22" ht="16.5" customHeight="1" x14ac:dyDescent="0.25">
      <c r="C16" s="87"/>
      <c r="D16" s="88" t="s">
        <v>305</v>
      </c>
      <c r="E16" s="88"/>
      <c r="F16" s="88" t="s">
        <v>297</v>
      </c>
      <c r="G16" s="99"/>
      <c r="H16" s="88"/>
      <c r="I16" s="88" t="s">
        <v>298</v>
      </c>
      <c r="J16" s="99"/>
      <c r="K16" s="88"/>
      <c r="L16" s="62"/>
      <c r="M16" s="62"/>
      <c r="N16" s="62"/>
      <c r="O16" s="96">
        <f>SUMIF(Q23:R23,Q4,Q25:R25)</f>
        <v>0</v>
      </c>
      <c r="Q16" s="95">
        <v>0</v>
      </c>
      <c r="R16" s="95">
        <v>1</v>
      </c>
      <c r="S16" s="95"/>
      <c r="T16" s="95"/>
      <c r="V16" s="69"/>
    </row>
    <row r="17" spans="3:22" ht="16.5" customHeight="1" x14ac:dyDescent="0.25">
      <c r="C17" s="87"/>
      <c r="D17" s="88" t="s">
        <v>306</v>
      </c>
      <c r="E17" s="88"/>
      <c r="F17" s="88"/>
      <c r="G17" s="88"/>
      <c r="H17" s="88"/>
      <c r="I17" s="88"/>
      <c r="J17" s="88"/>
      <c r="K17" s="88"/>
      <c r="L17" s="62"/>
      <c r="M17" s="62"/>
      <c r="N17" s="62"/>
      <c r="O17" s="96">
        <f>SUMIF(Q26:R26,Q4,P27:Q27)</f>
        <v>1</v>
      </c>
      <c r="P17" s="73">
        <v>7</v>
      </c>
      <c r="Q17" s="73" t="b">
        <v>1</v>
      </c>
      <c r="R17" s="73" t="b">
        <v>0</v>
      </c>
      <c r="V17" s="69"/>
    </row>
    <row r="18" spans="3:22" ht="16.5" customHeight="1" x14ac:dyDescent="0.25">
      <c r="C18" s="131" t="s">
        <v>294</v>
      </c>
      <c r="D18" s="132"/>
      <c r="E18" s="132"/>
      <c r="F18" s="132"/>
      <c r="G18" s="132"/>
      <c r="H18" s="132"/>
      <c r="I18" s="132"/>
      <c r="J18" s="132"/>
      <c r="K18" s="132"/>
      <c r="L18" s="62"/>
      <c r="M18" s="62"/>
      <c r="N18" s="62"/>
      <c r="O18" s="96">
        <f>SUMIF(P28:S28,Q4,P29:S29)</f>
        <v>0.66</v>
      </c>
      <c r="Q18" s="95">
        <v>0</v>
      </c>
      <c r="R18" s="95">
        <v>1</v>
      </c>
      <c r="S18" s="95"/>
      <c r="T18" s="95"/>
      <c r="V18" s="69"/>
    </row>
    <row r="19" spans="3:22" ht="16.5" customHeight="1" x14ac:dyDescent="0.25">
      <c r="C19" s="87"/>
      <c r="D19" s="88" t="s">
        <v>307</v>
      </c>
      <c r="E19" s="88"/>
      <c r="F19" s="88"/>
      <c r="G19" s="88"/>
      <c r="H19" s="88"/>
      <c r="I19" s="88"/>
      <c r="J19" s="88"/>
      <c r="K19" s="88"/>
      <c r="L19" s="62"/>
      <c r="M19" s="62"/>
      <c r="N19" s="62"/>
      <c r="O19" s="96">
        <f>SUMIF(P30:S30,Q4,Q31:T31)</f>
        <v>0.66</v>
      </c>
      <c r="P19" s="73">
        <v>8</v>
      </c>
      <c r="Q19" s="73" t="b">
        <v>0</v>
      </c>
      <c r="R19" s="73" t="b">
        <v>1</v>
      </c>
      <c r="V19" s="69"/>
    </row>
    <row r="20" spans="3:22" ht="16.5" customHeight="1" x14ac:dyDescent="0.25">
      <c r="C20" s="87"/>
      <c r="D20" s="88" t="s">
        <v>308</v>
      </c>
      <c r="E20" s="88"/>
      <c r="F20" s="88" t="s">
        <v>297</v>
      </c>
      <c r="G20" s="89"/>
      <c r="H20" s="88"/>
      <c r="I20" s="88" t="s">
        <v>298</v>
      </c>
      <c r="J20" s="89">
        <v>1000</v>
      </c>
      <c r="K20" s="88"/>
      <c r="L20" s="62"/>
      <c r="M20" s="62"/>
      <c r="N20" s="62"/>
      <c r="O20" s="96">
        <f>SUMIF(Q32:R32,Q4,Q33:R33)</f>
        <v>1</v>
      </c>
      <c r="Q20" s="95">
        <v>0</v>
      </c>
      <c r="R20" s="95">
        <v>1</v>
      </c>
      <c r="S20" s="95"/>
      <c r="T20" s="95"/>
      <c r="V20" s="69"/>
    </row>
    <row r="21" spans="3:22" ht="16.5" customHeight="1" x14ac:dyDescent="0.25">
      <c r="C21" s="131" t="s">
        <v>295</v>
      </c>
      <c r="D21" s="132"/>
      <c r="E21" s="132"/>
      <c r="F21" s="132"/>
      <c r="G21" s="132"/>
      <c r="H21" s="132"/>
      <c r="I21" s="132"/>
      <c r="J21" s="132"/>
      <c r="K21" s="132"/>
      <c r="L21" s="62"/>
      <c r="M21" s="62"/>
      <c r="N21" s="62"/>
      <c r="O21" s="96">
        <f>SUMIF(Q34:T34,Q4,Q35:T35)</f>
        <v>0</v>
      </c>
      <c r="P21" s="73">
        <v>9</v>
      </c>
      <c r="Q21" s="73" t="b">
        <v>1</v>
      </c>
      <c r="R21" s="73" t="b">
        <v>0</v>
      </c>
      <c r="V21" s="69"/>
    </row>
    <row r="22" spans="3:22" ht="16.5" customHeight="1" x14ac:dyDescent="0.25">
      <c r="C22" s="63"/>
      <c r="D22" s="64" t="s">
        <v>309</v>
      </c>
      <c r="E22" s="64"/>
      <c r="F22" s="88" t="s">
        <v>297</v>
      </c>
      <c r="G22" s="89"/>
      <c r="H22" s="88"/>
      <c r="I22" s="88" t="s">
        <v>298</v>
      </c>
      <c r="J22" s="89">
        <v>3500</v>
      </c>
      <c r="K22" s="64"/>
      <c r="L22" s="62"/>
      <c r="M22" s="62"/>
      <c r="N22" s="62"/>
      <c r="O22" s="96">
        <f>SUMIF(Q36:R36,Q4,Q37:R37)</f>
        <v>1</v>
      </c>
      <c r="Q22" s="95">
        <v>0</v>
      </c>
      <c r="R22" s="95">
        <v>1</v>
      </c>
      <c r="S22" s="95"/>
      <c r="T22" s="95"/>
      <c r="V22" s="69"/>
    </row>
    <row r="23" spans="3:22" ht="16.5" customHeight="1" x14ac:dyDescent="0.25">
      <c r="C23" s="63"/>
      <c r="D23" s="64" t="s">
        <v>310</v>
      </c>
      <c r="E23" s="64"/>
      <c r="F23" s="88" t="s">
        <v>297</v>
      </c>
      <c r="G23" s="92"/>
      <c r="H23" s="88"/>
      <c r="I23" s="88" t="s">
        <v>298</v>
      </c>
      <c r="J23" s="92"/>
      <c r="K23" s="64"/>
      <c r="L23" s="62"/>
      <c r="M23" s="62"/>
      <c r="N23" s="62"/>
      <c r="O23" s="96">
        <f>SUMIF(Q38:R38,Q4,Q39:R39)</f>
        <v>0</v>
      </c>
      <c r="P23" s="73">
        <v>10</v>
      </c>
      <c r="Q23" s="73" t="b">
        <v>1</v>
      </c>
      <c r="R23" s="73" t="b">
        <v>0</v>
      </c>
      <c r="V23" s="69"/>
    </row>
    <row r="24" spans="3:22" ht="16.5" customHeight="1" x14ac:dyDescent="0.25">
      <c r="C24" s="63" t="s">
        <v>312</v>
      </c>
      <c r="D24" s="64"/>
      <c r="E24" s="64"/>
      <c r="F24" s="91"/>
      <c r="G24" s="93"/>
      <c r="H24" s="91"/>
      <c r="I24" s="91"/>
      <c r="J24" s="93"/>
      <c r="K24" s="64"/>
      <c r="L24" s="62"/>
      <c r="M24" s="62"/>
      <c r="N24" s="62"/>
      <c r="O24" s="96">
        <f>SUMIF(Q40:T40,Q4,Q41:T41)</f>
        <v>0.33</v>
      </c>
      <c r="V24" s="69"/>
    </row>
    <row r="25" spans="3:22" x14ac:dyDescent="0.25">
      <c r="C25" s="56" t="s">
        <v>282</v>
      </c>
      <c r="D25" s="57" t="e">
        <f>AVERAGE(SUM(D4*20%)+SUM(D5*30%)+SUM(D6*50%))</f>
        <v>#DIV/0!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103"/>
      <c r="Q25" s="95">
        <v>0</v>
      </c>
      <c r="R25" s="95">
        <v>1</v>
      </c>
      <c r="S25" s="95"/>
      <c r="T25" s="95"/>
      <c r="V25" s="69"/>
    </row>
    <row r="26" spans="3:22" x14ac:dyDescent="0.25">
      <c r="C26" s="72"/>
      <c r="D26" s="70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104"/>
      <c r="P26" s="73">
        <v>11</v>
      </c>
      <c r="Q26" s="73" t="b">
        <v>0</v>
      </c>
      <c r="R26" s="73" t="b">
        <v>1</v>
      </c>
      <c r="V26" s="69"/>
    </row>
    <row r="27" spans="3:22" x14ac:dyDescent="0.25">
      <c r="C27" s="72"/>
      <c r="D27" s="70"/>
      <c r="E27" s="71"/>
      <c r="F27" s="71"/>
      <c r="G27" s="71"/>
      <c r="H27" s="71"/>
      <c r="I27" s="71"/>
      <c r="J27" s="71"/>
      <c r="K27" s="71"/>
      <c r="L27" s="71"/>
      <c r="M27" s="71"/>
      <c r="N27" s="94"/>
      <c r="P27" s="95">
        <v>0</v>
      </c>
      <c r="Q27" s="95">
        <v>1</v>
      </c>
      <c r="R27" s="95"/>
      <c r="S27" s="95"/>
    </row>
    <row r="28" spans="3:22" x14ac:dyDescent="0.25">
      <c r="C28" s="72"/>
      <c r="D28" s="70"/>
      <c r="E28" s="71"/>
      <c r="F28" s="71"/>
      <c r="G28" s="71"/>
      <c r="H28" s="71"/>
      <c r="I28" s="71"/>
      <c r="J28" s="71"/>
      <c r="K28" s="76"/>
      <c r="L28" s="76"/>
      <c r="M28" s="76"/>
      <c r="N28" s="94"/>
      <c r="O28" s="83">
        <v>12</v>
      </c>
      <c r="P28" s="73" t="b">
        <v>0</v>
      </c>
      <c r="Q28" s="73" t="b">
        <v>0</v>
      </c>
      <c r="R28" s="73" t="b">
        <v>1</v>
      </c>
      <c r="S28" s="73" t="b">
        <v>0</v>
      </c>
    </row>
    <row r="29" spans="3:22" x14ac:dyDescent="0.25">
      <c r="K29" s="85"/>
      <c r="L29" s="85"/>
      <c r="M29" s="73"/>
      <c r="N29" s="69"/>
      <c r="P29" s="95">
        <v>0</v>
      </c>
      <c r="Q29" s="95">
        <v>0.33</v>
      </c>
      <c r="R29" s="95">
        <v>0.66</v>
      </c>
      <c r="S29" s="95">
        <v>1</v>
      </c>
    </row>
    <row r="30" spans="3:22" x14ac:dyDescent="0.25">
      <c r="K30" s="85"/>
      <c r="L30" s="85"/>
      <c r="M30" s="73"/>
      <c r="N30" s="69"/>
      <c r="O30" s="83">
        <v>13</v>
      </c>
      <c r="P30" s="73" t="b">
        <v>0</v>
      </c>
      <c r="Q30" s="73" t="b">
        <v>0</v>
      </c>
      <c r="R30" s="73" t="b">
        <v>1</v>
      </c>
      <c r="S30" s="73" t="b">
        <v>0</v>
      </c>
    </row>
    <row r="31" spans="3:22" x14ac:dyDescent="0.25">
      <c r="L31" s="69"/>
      <c r="M31" s="69"/>
      <c r="N31" s="73"/>
      <c r="Q31" s="95">
        <v>0</v>
      </c>
      <c r="R31" s="95">
        <v>0.33</v>
      </c>
      <c r="S31" s="95">
        <v>0.66</v>
      </c>
      <c r="T31" s="95">
        <v>1</v>
      </c>
      <c r="V31" s="69"/>
    </row>
    <row r="32" spans="3:22" x14ac:dyDescent="0.25">
      <c r="L32" s="69"/>
      <c r="M32" s="69"/>
      <c r="P32" s="73">
        <v>14</v>
      </c>
      <c r="Q32" s="73" t="b">
        <v>0</v>
      </c>
      <c r="R32" s="73" t="b">
        <v>1</v>
      </c>
      <c r="V32" s="69"/>
    </row>
    <row r="33" spans="16:22" x14ac:dyDescent="0.25">
      <c r="Q33" s="95">
        <v>0</v>
      </c>
      <c r="R33" s="95">
        <v>1</v>
      </c>
      <c r="S33" s="95"/>
      <c r="T33" s="95"/>
      <c r="V33" s="69"/>
    </row>
    <row r="34" spans="16:22" x14ac:dyDescent="0.25">
      <c r="P34" s="73">
        <v>15</v>
      </c>
      <c r="Q34" s="73" t="b">
        <v>1</v>
      </c>
      <c r="R34" s="73" t="b">
        <v>0</v>
      </c>
      <c r="S34" s="73" t="b">
        <v>0</v>
      </c>
      <c r="T34" s="73" t="b">
        <v>0</v>
      </c>
      <c r="V34" s="69"/>
    </row>
    <row r="35" spans="16:22" x14ac:dyDescent="0.25">
      <c r="Q35" s="95">
        <v>0</v>
      </c>
      <c r="R35" s="95">
        <v>0.33</v>
      </c>
      <c r="S35" s="95">
        <v>0.66</v>
      </c>
      <c r="T35" s="95">
        <v>1</v>
      </c>
      <c r="V35" s="69"/>
    </row>
    <row r="36" spans="16:22" x14ac:dyDescent="0.25">
      <c r="P36" s="73">
        <v>16</v>
      </c>
      <c r="Q36" s="73" t="b">
        <v>0</v>
      </c>
      <c r="R36" s="73" t="b">
        <v>1</v>
      </c>
    </row>
    <row r="37" spans="16:22" x14ac:dyDescent="0.25">
      <c r="Q37" s="95">
        <v>0</v>
      </c>
      <c r="R37" s="95">
        <v>1</v>
      </c>
      <c r="S37" s="95"/>
      <c r="T37" s="95"/>
    </row>
    <row r="38" spans="16:22" x14ac:dyDescent="0.25">
      <c r="P38" s="73">
        <v>17</v>
      </c>
      <c r="Q38" s="73" t="b">
        <v>1</v>
      </c>
      <c r="R38" s="73" t="b">
        <v>0</v>
      </c>
    </row>
    <row r="39" spans="16:22" x14ac:dyDescent="0.25">
      <c r="Q39" s="95">
        <v>0</v>
      </c>
      <c r="R39" s="95">
        <v>1</v>
      </c>
      <c r="S39" s="95"/>
      <c r="T39" s="95"/>
    </row>
    <row r="40" spans="16:22" x14ac:dyDescent="0.25">
      <c r="P40" s="73">
        <v>18</v>
      </c>
      <c r="Q40" s="73" t="b">
        <v>0</v>
      </c>
      <c r="R40" s="73" t="b">
        <v>1</v>
      </c>
      <c r="S40" s="73" t="b">
        <v>0</v>
      </c>
      <c r="T40" s="73" t="b">
        <v>0</v>
      </c>
    </row>
    <row r="41" spans="16:22" x14ac:dyDescent="0.25">
      <c r="Q41" s="95">
        <v>0</v>
      </c>
      <c r="R41" s="95">
        <v>0.33</v>
      </c>
      <c r="S41" s="95">
        <v>0.66</v>
      </c>
      <c r="T41" s="95">
        <v>1</v>
      </c>
    </row>
    <row r="43" spans="16:22" x14ac:dyDescent="0.25">
      <c r="Q43" s="95"/>
      <c r="R43" s="95"/>
      <c r="S43" s="95"/>
      <c r="T43" s="95"/>
    </row>
  </sheetData>
  <mergeCells count="4">
    <mergeCell ref="C7:L7"/>
    <mergeCell ref="C9:K9"/>
    <mergeCell ref="C18:K18"/>
    <mergeCell ref="C21:K21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83" r:id="rId4" name="Check Box 51">
              <controlPr defaultSize="0" autoFill="0" autoLine="0" autoPict="0">
                <anchor moveWithCells="1">
                  <from>
                    <xdr:col>4</xdr:col>
                    <xdr:colOff>1571625</xdr:colOff>
                    <xdr:row>6</xdr:row>
                    <xdr:rowOff>19050</xdr:rowOff>
                  </from>
                  <to>
                    <xdr:col>5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4" r:id="rId5" name="Check Box 52">
              <controlPr defaultSize="0" autoFill="0" autoLine="0" autoPict="0">
                <anchor moveWithCells="1">
                  <from>
                    <xdr:col>5</xdr:col>
                    <xdr:colOff>685800</xdr:colOff>
                    <xdr:row>6</xdr:row>
                    <xdr:rowOff>28575</xdr:rowOff>
                  </from>
                  <to>
                    <xdr:col>8</xdr:col>
                    <xdr:colOff>133350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5" r:id="rId6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180975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6" r:id="rId7" name="Check Box 54">
              <controlPr defaultSize="0" autoFill="0" autoLine="0" autoPict="0">
                <anchor moveWithCells="1">
                  <from>
                    <xdr:col>9</xdr:col>
                    <xdr:colOff>123825</xdr:colOff>
                    <xdr:row>6</xdr:row>
                    <xdr:rowOff>19050</xdr:rowOff>
                  </from>
                  <to>
                    <xdr:col>10</xdr:col>
                    <xdr:colOff>161925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7" r:id="rId8" name="Check Box 55">
              <controlPr defaultSize="0" autoFill="0" autoLine="0" autoPict="0">
                <anchor moveWithCells="1">
                  <from>
                    <xdr:col>4</xdr:col>
                    <xdr:colOff>1562100</xdr:colOff>
                    <xdr:row>6</xdr:row>
                    <xdr:rowOff>190500</xdr:rowOff>
                  </from>
                  <to>
                    <xdr:col>5</xdr:col>
                    <xdr:colOff>304800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8" r:id="rId9" name="Check Box 56">
              <controlPr defaultSize="0" autoFill="0" autoLine="0" autoPict="0">
                <anchor moveWithCells="1">
                  <from>
                    <xdr:col>5</xdr:col>
                    <xdr:colOff>685800</xdr:colOff>
                    <xdr:row>6</xdr:row>
                    <xdr:rowOff>200025</xdr:rowOff>
                  </from>
                  <to>
                    <xdr:col>6</xdr:col>
                    <xdr:colOff>581025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9" r:id="rId10" name="Check Box 57">
              <controlPr defaultSize="0" autoFill="0" autoLine="0" autoPict="0">
                <anchor moveWithCells="1">
                  <from>
                    <xdr:col>7</xdr:col>
                    <xdr:colOff>104775</xdr:colOff>
                    <xdr:row>7</xdr:row>
                    <xdr:rowOff>0</xdr:rowOff>
                  </from>
                  <to>
                    <xdr:col>9</xdr:col>
                    <xdr:colOff>238125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0" r:id="rId11" name="Check Box 58">
              <controlPr defaultSize="0" autoFill="0" autoLine="0" autoPict="0">
                <anchor moveWithCells="1">
                  <from>
                    <xdr:col>9</xdr:col>
                    <xdr:colOff>123825</xdr:colOff>
                    <xdr:row>6</xdr:row>
                    <xdr:rowOff>200025</xdr:rowOff>
                  </from>
                  <to>
                    <xdr:col>12</xdr:col>
                    <xdr:colOff>47625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1" r:id="rId12" name="Check Box 59">
              <controlPr defaultSize="0" autoFill="0" autoLine="0" autoPict="0">
                <anchor moveWithCells="1">
                  <from>
                    <xdr:col>4</xdr:col>
                    <xdr:colOff>1571625</xdr:colOff>
                    <xdr:row>8</xdr:row>
                    <xdr:rowOff>19050</xdr:rowOff>
                  </from>
                  <to>
                    <xdr:col>5</xdr:col>
                    <xdr:colOff>285750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2" r:id="rId13" name="Check Box 60">
              <controlPr defaultSize="0" autoFill="0" autoLine="0" autoPict="0">
                <anchor moveWithCells="1">
                  <from>
                    <xdr:col>5</xdr:col>
                    <xdr:colOff>685800</xdr:colOff>
                    <xdr:row>8</xdr:row>
                    <xdr:rowOff>28575</xdr:rowOff>
                  </from>
                  <to>
                    <xdr:col>7</xdr:col>
                    <xdr:colOff>152400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3" r:id="rId14" name="Check Box 61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38100</xdr:rowOff>
                  </from>
                  <to>
                    <xdr:col>9</xdr:col>
                    <xdr:colOff>57150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4" r:id="rId15" name="Check Box 62">
              <controlPr defaultSize="0" autoFill="0" autoLine="0" autoPict="0">
                <anchor moveWithCells="1">
                  <from>
                    <xdr:col>9</xdr:col>
                    <xdr:colOff>123825</xdr:colOff>
                    <xdr:row>8</xdr:row>
                    <xdr:rowOff>28575</xdr:rowOff>
                  </from>
                  <to>
                    <xdr:col>10</xdr:col>
                    <xdr:colOff>57150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5" r:id="rId16" name="Check Box 63">
              <controlPr defaultSize="0" autoFill="0" autoLine="0" autoPict="0">
                <anchor moveWithCells="1">
                  <from>
                    <xdr:col>10</xdr:col>
                    <xdr:colOff>571500</xdr:colOff>
                    <xdr:row>9</xdr:row>
                    <xdr:rowOff>28575</xdr:rowOff>
                  </from>
                  <to>
                    <xdr:col>11</xdr:col>
                    <xdr:colOff>266700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6" r:id="rId17" name="Check Box 64">
              <controlPr defaultSize="0" autoFill="0" autoLine="0" autoPict="0">
                <anchor moveWithCells="1">
                  <from>
                    <xdr:col>11</xdr:col>
                    <xdr:colOff>571500</xdr:colOff>
                    <xdr:row>9</xdr:row>
                    <xdr:rowOff>28575</xdr:rowOff>
                  </from>
                  <to>
                    <xdr:col>12</xdr:col>
                    <xdr:colOff>266700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7" r:id="rId18" name="Check Box 65">
              <controlPr defaultSize="0" autoFill="0" autoLine="0" autoPict="0">
                <anchor moveWithCells="1">
                  <from>
                    <xdr:col>10</xdr:col>
                    <xdr:colOff>571500</xdr:colOff>
                    <xdr:row>10</xdr:row>
                    <xdr:rowOff>28575</xdr:rowOff>
                  </from>
                  <to>
                    <xdr:col>11</xdr:col>
                    <xdr:colOff>266700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8" r:id="rId19" name="Check Box 66">
              <controlPr defaultSize="0" autoFill="0" autoLine="0" autoPict="0">
                <anchor moveWithCells="1">
                  <from>
                    <xdr:col>11</xdr:col>
                    <xdr:colOff>571500</xdr:colOff>
                    <xdr:row>10</xdr:row>
                    <xdr:rowOff>19050</xdr:rowOff>
                  </from>
                  <to>
                    <xdr:col>12</xdr:col>
                    <xdr:colOff>266700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9" r:id="rId20" name="Check Box 67">
              <controlPr defaultSize="0" autoFill="0" autoLine="0" autoPict="0">
                <anchor moveWithCells="1">
                  <from>
                    <xdr:col>10</xdr:col>
                    <xdr:colOff>571500</xdr:colOff>
                    <xdr:row>11</xdr:row>
                    <xdr:rowOff>38100</xdr:rowOff>
                  </from>
                  <to>
                    <xdr:col>11</xdr:col>
                    <xdr:colOff>266700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0" r:id="rId21" name="Check Box 68">
              <controlPr defaultSize="0" autoFill="0" autoLine="0" autoPict="0">
                <anchor moveWithCells="1">
                  <from>
                    <xdr:col>11</xdr:col>
                    <xdr:colOff>571500</xdr:colOff>
                    <xdr:row>11</xdr:row>
                    <xdr:rowOff>38100</xdr:rowOff>
                  </from>
                  <to>
                    <xdr:col>12</xdr:col>
                    <xdr:colOff>266700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1" r:id="rId22" name="Check Box 69">
              <controlPr defaultSize="0" autoFill="0" autoLine="0" autoPict="0">
                <anchor moveWithCells="1">
                  <from>
                    <xdr:col>10</xdr:col>
                    <xdr:colOff>571500</xdr:colOff>
                    <xdr:row>12</xdr:row>
                    <xdr:rowOff>28575</xdr:rowOff>
                  </from>
                  <to>
                    <xdr:col>11</xdr:col>
                    <xdr:colOff>266700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2" r:id="rId23" name="Check Box 70">
              <controlPr defaultSize="0" autoFill="0" autoLine="0" autoPict="0">
                <anchor moveWithCells="1">
                  <from>
                    <xdr:col>11</xdr:col>
                    <xdr:colOff>571500</xdr:colOff>
                    <xdr:row>12</xdr:row>
                    <xdr:rowOff>28575</xdr:rowOff>
                  </from>
                  <to>
                    <xdr:col>12</xdr:col>
                    <xdr:colOff>266700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3" r:id="rId24" name="Check Box 71">
              <controlPr defaultSize="0" autoFill="0" autoLine="0" autoPict="0">
                <anchor moveWithCells="1">
                  <from>
                    <xdr:col>10</xdr:col>
                    <xdr:colOff>571500</xdr:colOff>
                    <xdr:row>13</xdr:row>
                    <xdr:rowOff>28575</xdr:rowOff>
                  </from>
                  <to>
                    <xdr:col>11</xdr:col>
                    <xdr:colOff>266700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4" r:id="rId25" name="Check Box 72">
              <controlPr defaultSize="0" autoFill="0" autoLine="0" autoPict="0">
                <anchor moveWithCells="1">
                  <from>
                    <xdr:col>11</xdr:col>
                    <xdr:colOff>571500</xdr:colOff>
                    <xdr:row>13</xdr:row>
                    <xdr:rowOff>28575</xdr:rowOff>
                  </from>
                  <to>
                    <xdr:col>12</xdr:col>
                    <xdr:colOff>266700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5" r:id="rId26" name="Check Box 73">
              <controlPr defaultSize="0" autoFill="0" autoLine="0" autoPict="0">
                <anchor moveWithCells="1">
                  <from>
                    <xdr:col>10</xdr:col>
                    <xdr:colOff>571500</xdr:colOff>
                    <xdr:row>14</xdr:row>
                    <xdr:rowOff>28575</xdr:rowOff>
                  </from>
                  <to>
                    <xdr:col>11</xdr:col>
                    <xdr:colOff>266700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6" r:id="rId27" name="Check Box 74">
              <controlPr defaultSize="0" autoFill="0" autoLine="0" autoPict="0">
                <anchor moveWithCells="1">
                  <from>
                    <xdr:col>11</xdr:col>
                    <xdr:colOff>571500</xdr:colOff>
                    <xdr:row>14</xdr:row>
                    <xdr:rowOff>28575</xdr:rowOff>
                  </from>
                  <to>
                    <xdr:col>12</xdr:col>
                    <xdr:colOff>266700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7" r:id="rId28" name="Check Box 75">
              <controlPr defaultSize="0" autoFill="0" autoLine="0" autoPict="0">
                <anchor moveWithCells="1">
                  <from>
                    <xdr:col>10</xdr:col>
                    <xdr:colOff>571500</xdr:colOff>
                    <xdr:row>19</xdr:row>
                    <xdr:rowOff>28575</xdr:rowOff>
                  </from>
                  <to>
                    <xdr:col>11</xdr:col>
                    <xdr:colOff>266700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8" r:id="rId29" name="Check Box 76">
              <controlPr defaultSize="0" autoFill="0" autoLine="0" autoPict="0">
                <anchor moveWithCells="1">
                  <from>
                    <xdr:col>11</xdr:col>
                    <xdr:colOff>571500</xdr:colOff>
                    <xdr:row>19</xdr:row>
                    <xdr:rowOff>28575</xdr:rowOff>
                  </from>
                  <to>
                    <xdr:col>12</xdr:col>
                    <xdr:colOff>266700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9" r:id="rId30" name="Check Box 77">
              <controlPr defaultSize="0" autoFill="0" autoLine="0" autoPict="0">
                <anchor moveWithCells="1">
                  <from>
                    <xdr:col>10</xdr:col>
                    <xdr:colOff>571500</xdr:colOff>
                    <xdr:row>15</xdr:row>
                    <xdr:rowOff>28575</xdr:rowOff>
                  </from>
                  <to>
                    <xdr:col>11</xdr:col>
                    <xdr:colOff>266700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0" r:id="rId31" name="Check Box 78">
              <controlPr defaultSize="0" autoFill="0" autoLine="0" autoPict="0">
                <anchor moveWithCells="1">
                  <from>
                    <xdr:col>11</xdr:col>
                    <xdr:colOff>571500</xdr:colOff>
                    <xdr:row>15</xdr:row>
                    <xdr:rowOff>28575</xdr:rowOff>
                  </from>
                  <to>
                    <xdr:col>12</xdr:col>
                    <xdr:colOff>266700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1" r:id="rId32" name="Check Box 79">
              <controlPr defaultSize="0" autoFill="0" autoLine="0" autoPict="0">
                <anchor moveWithCells="1">
                  <from>
                    <xdr:col>10</xdr:col>
                    <xdr:colOff>571500</xdr:colOff>
                    <xdr:row>21</xdr:row>
                    <xdr:rowOff>38100</xdr:rowOff>
                  </from>
                  <to>
                    <xdr:col>11</xdr:col>
                    <xdr:colOff>266700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2" r:id="rId33" name="Check Box 80">
              <controlPr defaultSize="0" autoFill="0" autoLine="0" autoPict="0">
                <anchor moveWithCells="1">
                  <from>
                    <xdr:col>11</xdr:col>
                    <xdr:colOff>571500</xdr:colOff>
                    <xdr:row>21</xdr:row>
                    <xdr:rowOff>38100</xdr:rowOff>
                  </from>
                  <to>
                    <xdr:col>12</xdr:col>
                    <xdr:colOff>266700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3" r:id="rId34" name="Check Box 81">
              <controlPr defaultSize="0" autoFill="0" autoLine="0" autoPict="0">
                <anchor moveWithCells="1">
                  <from>
                    <xdr:col>10</xdr:col>
                    <xdr:colOff>571500</xdr:colOff>
                    <xdr:row>22</xdr:row>
                    <xdr:rowOff>28575</xdr:rowOff>
                  </from>
                  <to>
                    <xdr:col>11</xdr:col>
                    <xdr:colOff>266700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4" r:id="rId35" name="Check Box 82">
              <controlPr defaultSize="0" autoFill="0" autoLine="0" autoPict="0">
                <anchor moveWithCells="1">
                  <from>
                    <xdr:col>11</xdr:col>
                    <xdr:colOff>571500</xdr:colOff>
                    <xdr:row>22</xdr:row>
                    <xdr:rowOff>28575</xdr:rowOff>
                  </from>
                  <to>
                    <xdr:col>12</xdr:col>
                    <xdr:colOff>266700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5" r:id="rId36" name="Check Box 83">
              <controlPr defaultSize="0" autoFill="0" autoLine="0" autoPict="0">
                <anchor moveWithCells="1">
                  <from>
                    <xdr:col>4</xdr:col>
                    <xdr:colOff>1571625</xdr:colOff>
                    <xdr:row>16</xdr:row>
                    <xdr:rowOff>38100</xdr:rowOff>
                  </from>
                  <to>
                    <xdr:col>5</xdr:col>
                    <xdr:colOff>285750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6" r:id="rId37" name="Check Box 84">
              <controlPr defaultSize="0" autoFill="0" autoLine="0" autoPict="0">
                <anchor moveWithCells="1">
                  <from>
                    <xdr:col>5</xdr:col>
                    <xdr:colOff>590550</xdr:colOff>
                    <xdr:row>16</xdr:row>
                    <xdr:rowOff>38100</xdr:rowOff>
                  </from>
                  <to>
                    <xdr:col>6</xdr:col>
                    <xdr:colOff>9525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7" r:id="rId38" name="Check Box 85">
              <controlPr defaultSize="0" autoFill="0" autoLine="0" autoPict="0">
                <anchor moveWithCells="1">
                  <from>
                    <xdr:col>4</xdr:col>
                    <xdr:colOff>1571625</xdr:colOff>
                    <xdr:row>17</xdr:row>
                    <xdr:rowOff>19050</xdr:rowOff>
                  </from>
                  <to>
                    <xdr:col>5</xdr:col>
                    <xdr:colOff>285750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8" r:id="rId39" name="Check Box 86">
              <controlPr defaultSize="0" autoFill="0" autoLine="0" autoPict="0">
                <anchor moveWithCells="1">
                  <from>
                    <xdr:col>5</xdr:col>
                    <xdr:colOff>685800</xdr:colOff>
                    <xdr:row>17</xdr:row>
                    <xdr:rowOff>28575</xdr:rowOff>
                  </from>
                  <to>
                    <xdr:col>8</xdr:col>
                    <xdr:colOff>133350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9" r:id="rId40" name="Check Box 8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180975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0" r:id="rId41" name="Check Box 88">
              <controlPr defaultSize="0" autoFill="0" autoLine="0" autoPict="0">
                <anchor moveWithCells="1">
                  <from>
                    <xdr:col>9</xdr:col>
                    <xdr:colOff>123825</xdr:colOff>
                    <xdr:row>17</xdr:row>
                    <xdr:rowOff>19050</xdr:rowOff>
                  </from>
                  <to>
                    <xdr:col>10</xdr:col>
                    <xdr:colOff>161925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1" r:id="rId42" name="Check Box 89">
              <controlPr defaultSize="0" autoFill="0" autoLine="0" autoPict="0">
                <anchor moveWithCells="1">
                  <from>
                    <xdr:col>4</xdr:col>
                    <xdr:colOff>1571625</xdr:colOff>
                    <xdr:row>18</xdr:row>
                    <xdr:rowOff>0</xdr:rowOff>
                  </from>
                  <to>
                    <xdr:col>5</xdr:col>
                    <xdr:colOff>285750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2" r:id="rId43" name="Check Box 90">
              <controlPr defaultSize="0" autoFill="0" autoLine="0" autoPict="0">
                <anchor moveWithCells="1">
                  <from>
                    <xdr:col>5</xdr:col>
                    <xdr:colOff>685800</xdr:colOff>
                    <xdr:row>18</xdr:row>
                    <xdr:rowOff>9525</xdr:rowOff>
                  </from>
                  <to>
                    <xdr:col>8</xdr:col>
                    <xdr:colOff>133350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3" r:id="rId44" name="Check Box 91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190500</xdr:rowOff>
                  </from>
                  <to>
                    <xdr:col>9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4" r:id="rId45" name="Check Box 92">
              <controlPr defaultSize="0" autoFill="0" autoLine="0" autoPict="0">
                <anchor moveWithCells="1">
                  <from>
                    <xdr:col>9</xdr:col>
                    <xdr:colOff>123825</xdr:colOff>
                    <xdr:row>18</xdr:row>
                    <xdr:rowOff>0</xdr:rowOff>
                  </from>
                  <to>
                    <xdr:col>10</xdr:col>
                    <xdr:colOff>457200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5" r:id="rId46" name="Check Box 93">
              <controlPr defaultSize="0" autoFill="0" autoLine="0" autoPict="0">
                <anchor moveWithCells="1">
                  <from>
                    <xdr:col>4</xdr:col>
                    <xdr:colOff>1581150</xdr:colOff>
                    <xdr:row>20</xdr:row>
                    <xdr:rowOff>9525</xdr:rowOff>
                  </from>
                  <to>
                    <xdr:col>5</xdr:col>
                    <xdr:colOff>295275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6" r:id="rId47" name="Check Box 94">
              <controlPr defaultSize="0" autoFill="0" autoLine="0" autoPict="0">
                <anchor moveWithCells="1">
                  <from>
                    <xdr:col>5</xdr:col>
                    <xdr:colOff>695325</xdr:colOff>
                    <xdr:row>20</xdr:row>
                    <xdr:rowOff>19050</xdr:rowOff>
                  </from>
                  <to>
                    <xdr:col>8</xdr:col>
                    <xdr:colOff>142875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7" r:id="rId48" name="Check Box 95">
              <controlPr defaultSize="0" autoFill="0" autoLine="0" autoPict="0">
                <anchor moveWithCells="1">
                  <from>
                    <xdr:col>8</xdr:col>
                    <xdr:colOff>9525</xdr:colOff>
                    <xdr:row>19</xdr:row>
                    <xdr:rowOff>200025</xdr:rowOff>
                  </from>
                  <to>
                    <xdr:col>9</xdr:col>
                    <xdr:colOff>190500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8" r:id="rId49" name="Check Box 96">
              <controlPr defaultSize="0" autoFill="0" autoLine="0" autoPict="0">
                <anchor moveWithCells="1">
                  <from>
                    <xdr:col>9</xdr:col>
                    <xdr:colOff>133350</xdr:colOff>
                    <xdr:row>20</xdr:row>
                    <xdr:rowOff>9525</xdr:rowOff>
                  </from>
                  <to>
                    <xdr:col>10</xdr:col>
                    <xdr:colOff>171450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9" r:id="rId50" name="Check Box 97">
              <controlPr defaultSize="0" autoFill="0" autoLine="0" autoPict="0">
                <anchor moveWithCells="1">
                  <from>
                    <xdr:col>4</xdr:col>
                    <xdr:colOff>1581150</xdr:colOff>
                    <xdr:row>23</xdr:row>
                    <xdr:rowOff>0</xdr:rowOff>
                  </from>
                  <to>
                    <xdr:col>5</xdr:col>
                    <xdr:colOff>504825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0" r:id="rId51" name="Check Box 98">
              <controlPr defaultSize="0" autoFill="0" autoLine="0" autoPict="0">
                <anchor moveWithCells="1">
                  <from>
                    <xdr:col>5</xdr:col>
                    <xdr:colOff>695325</xdr:colOff>
                    <xdr:row>23</xdr:row>
                    <xdr:rowOff>28575</xdr:rowOff>
                  </from>
                  <to>
                    <xdr:col>7</xdr:col>
                    <xdr:colOff>209550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1" r:id="rId52" name="Check Box 99">
              <controlPr defaultSize="0" autoFill="0" autoLine="0" autoPict="0">
                <anchor moveWithCells="1">
                  <from>
                    <xdr:col>8</xdr:col>
                    <xdr:colOff>66675</xdr:colOff>
                    <xdr:row>23</xdr:row>
                    <xdr:rowOff>38100</xdr:rowOff>
                  </from>
                  <to>
                    <xdr:col>9</xdr:col>
                    <xdr:colOff>361950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2" r:id="rId53" name="Check Box 100">
              <controlPr defaultSize="0" autoFill="0" autoLine="0" autoPict="0">
                <anchor moveWithCells="1">
                  <from>
                    <xdr:col>9</xdr:col>
                    <xdr:colOff>133350</xdr:colOff>
                    <xdr:row>23</xdr:row>
                    <xdr:rowOff>9525</xdr:rowOff>
                  </from>
                  <to>
                    <xdr:col>10</xdr:col>
                    <xdr:colOff>200025</xdr:colOff>
                    <xdr:row>24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MENU</vt:lpstr>
      <vt:lpstr>PE_1</vt:lpstr>
      <vt:lpstr>PE_2</vt:lpstr>
      <vt:lpstr>PE_3</vt:lpstr>
      <vt:lpstr>PE_4</vt:lpstr>
      <vt:lpstr>Consolida_PE</vt:lpstr>
      <vt:lpstr>Gráfico_PE</vt:lpstr>
      <vt:lpstr>1. Empreendedor</vt:lpstr>
      <vt:lpstr>2. Tecnologia</vt:lpstr>
      <vt:lpstr>3. Capital</vt:lpstr>
      <vt:lpstr>4. Mercado</vt:lpstr>
      <vt:lpstr>5. Gestão</vt:lpstr>
      <vt:lpstr>Consolida_Dimensões_Analítico</vt:lpstr>
      <vt:lpstr>Consolida_Dimensões_Sintético</vt:lpstr>
      <vt:lpstr>Empreendimento_Sintético</vt:lpstr>
      <vt:lpstr>Gráf-Analítico</vt:lpstr>
      <vt:lpstr>Entregas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martins</dc:creator>
  <cp:lastModifiedBy>Eu</cp:lastModifiedBy>
  <cp:lastPrinted>2019-02-08T15:58:13Z</cp:lastPrinted>
  <dcterms:created xsi:type="dcterms:W3CDTF">2014-08-29T17:12:53Z</dcterms:created>
  <dcterms:modified xsi:type="dcterms:W3CDTF">2020-08-27T19:47:10Z</dcterms:modified>
</cp:coreProperties>
</file>